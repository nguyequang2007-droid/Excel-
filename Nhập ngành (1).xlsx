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minimized="1" xWindow="0" yWindow="0" windowWidth="2364" windowHeight="0"/>
  </bookViews>
  <sheets>
    <sheet name="Trang tính1" sheetId="1" r:id="rId1"/>
    <sheet name="Trang tính2" sheetId="2" r:id="rId2"/>
    <sheet name="Trang tính3" sheetId="3" r:id="rId3"/>
    <sheet name="Trang tính4" sheetId="4" r:id="rId4"/>
  </sheets>
  <externalReferences>
    <externalReference r:id="rId5"/>
  </externalReferences>
  <calcPr calcId="162913"/>
</workbook>
</file>

<file path=xl/calcChain.xml><?xml version="1.0" encoding="utf-8"?>
<calcChain xmlns="http://schemas.openxmlformats.org/spreadsheetml/2006/main">
  <c r="I3" i="1" l="1"/>
  <c r="E3" i="1"/>
  <c r="M9" i="2" l="1"/>
  <c r="F9" i="2"/>
  <c r="N9" i="2" s="1"/>
  <c r="N8" i="2"/>
  <c r="M8" i="2"/>
  <c r="L8" i="2"/>
  <c r="K8" i="2"/>
  <c r="J8" i="2"/>
  <c r="F8" i="2"/>
  <c r="I8" i="2" s="1"/>
  <c r="M7" i="2"/>
  <c r="L7" i="2"/>
  <c r="K7" i="2"/>
  <c r="J7" i="2"/>
  <c r="I7" i="2"/>
  <c r="H7" i="2"/>
  <c r="F7" i="2"/>
  <c r="N7" i="2" s="1"/>
  <c r="G7" i="2" s="1"/>
  <c r="F6" i="2"/>
  <c r="N6" i="2" s="1"/>
  <c r="M5" i="2"/>
  <c r="F5" i="2"/>
  <c r="N5" i="2" s="1"/>
  <c r="N4" i="2"/>
  <c r="M4" i="2"/>
  <c r="L4" i="2"/>
  <c r="K4" i="2"/>
  <c r="J4" i="2"/>
  <c r="F4" i="2"/>
  <c r="I4" i="2" s="1"/>
  <c r="M3" i="2"/>
  <c r="L3" i="2"/>
  <c r="K3" i="2"/>
  <c r="J3" i="2"/>
  <c r="I3" i="2"/>
  <c r="H3" i="2"/>
  <c r="F3" i="2"/>
  <c r="N3" i="2" s="1"/>
  <c r="G3" i="2" s="1"/>
  <c r="F2" i="2"/>
  <c r="N2" i="2" s="1"/>
  <c r="D21" i="1"/>
  <c r="D20" i="1"/>
  <c r="D19" i="1"/>
  <c r="D18" i="1"/>
  <c r="D17" i="1"/>
  <c r="D16" i="1"/>
  <c r="D14" i="1"/>
  <c r="D13" i="1"/>
  <c r="J10" i="1"/>
  <c r="I10" i="1"/>
  <c r="H10" i="1"/>
  <c r="E10" i="1"/>
  <c r="J9" i="1"/>
  <c r="I9" i="1"/>
  <c r="H9" i="1"/>
  <c r="E9" i="1"/>
  <c r="J8" i="1"/>
  <c r="I8" i="1"/>
  <c r="H8" i="1"/>
  <c r="E8" i="1"/>
  <c r="J7" i="1"/>
  <c r="I7" i="1"/>
  <c r="H7" i="1"/>
  <c r="E7" i="1"/>
  <c r="J6" i="1"/>
  <c r="I6" i="1"/>
  <c r="H6" i="1"/>
  <c r="E6" i="1"/>
  <c r="J5" i="1"/>
  <c r="I5" i="1"/>
  <c r="H5" i="1"/>
  <c r="E5" i="1"/>
  <c r="J4" i="1"/>
  <c r="I4" i="1"/>
  <c r="H4" i="1"/>
  <c r="E4" i="1"/>
  <c r="J3" i="1"/>
  <c r="D15" i="1"/>
  <c r="H2" i="2" l="1"/>
  <c r="H6" i="2"/>
  <c r="J2" i="2"/>
  <c r="J6" i="2"/>
  <c r="I2" i="2"/>
  <c r="I6" i="2"/>
  <c r="K2" i="2"/>
  <c r="H5" i="2"/>
  <c r="K6" i="2"/>
  <c r="H9" i="2"/>
  <c r="L2" i="2"/>
  <c r="I5" i="2"/>
  <c r="L6" i="2"/>
  <c r="I9" i="2"/>
  <c r="M2" i="2"/>
  <c r="J5" i="2"/>
  <c r="M6" i="2"/>
  <c r="J9" i="2"/>
  <c r="H4" i="2"/>
  <c r="G4" i="2" s="1"/>
  <c r="K5" i="2"/>
  <c r="H8" i="2"/>
  <c r="G8" i="2" s="1"/>
  <c r="K9" i="2"/>
  <c r="L5" i="2"/>
  <c r="L9" i="2"/>
  <c r="G9" i="2" l="1"/>
  <c r="G5" i="2"/>
  <c r="G6" i="2"/>
  <c r="G2" i="2"/>
</calcChain>
</file>

<file path=xl/sharedStrings.xml><?xml version="1.0" encoding="utf-8"?>
<sst xmlns="http://schemas.openxmlformats.org/spreadsheetml/2006/main" count="114" uniqueCount="102">
  <si>
    <t>Sản lượng điện</t>
  </si>
  <si>
    <t>Stt</t>
  </si>
  <si>
    <t>Họ và tên</t>
  </si>
  <si>
    <t>Ngày sinh</t>
  </si>
  <si>
    <t>Tuổi</t>
  </si>
  <si>
    <t>Sản lượng 
tiêu thụ (kWh)</t>
  </si>
  <si>
    <t>Giá điện 
trung bình (đồng/kWh)</t>
  </si>
  <si>
    <t xml:space="preserve">Xếp hạng sản lượng tiêu thụ trên xuống </t>
  </si>
  <si>
    <t>Tiền điện</t>
  </si>
  <si>
    <t>Phân loại</t>
  </si>
  <si>
    <t>sản lượng</t>
  </si>
  <si>
    <t>phân loại</t>
  </si>
  <si>
    <t xml:space="preserve">Nguyễn Vân </t>
  </si>
  <si>
    <t>Anh</t>
  </si>
  <si>
    <t>&lt;100</t>
  </si>
  <si>
    <t>nghèo</t>
  </si>
  <si>
    <t xml:space="preserve">Ngô Thị </t>
  </si>
  <si>
    <t>Ánh</t>
  </si>
  <si>
    <t>100-200</t>
  </si>
  <si>
    <t>bình thường</t>
  </si>
  <si>
    <t xml:space="preserve">Hoàng Văn </t>
  </si>
  <si>
    <t>Bắc</t>
  </si>
  <si>
    <t>&gt;200</t>
  </si>
  <si>
    <t>giàu</t>
  </si>
  <si>
    <t xml:space="preserve">Phạm Hồng </t>
  </si>
  <si>
    <t xml:space="preserve">Phạm Trọng </t>
  </si>
  <si>
    <t>Bằng</t>
  </si>
  <si>
    <t xml:space="preserve">Nguyễn Vĩnh </t>
  </si>
  <si>
    <t>Bình</t>
  </si>
  <si>
    <t xml:space="preserve">Thái Quốc </t>
  </si>
  <si>
    <t xml:space="preserve">Ngô Thanh </t>
  </si>
  <si>
    <t>Yêu cầu:</t>
  </si>
  <si>
    <t>Nhập công thức tính cho các ô màu vàng</t>
  </si>
  <si>
    <t>Tổng toàn bộ sản lượng</t>
  </si>
  <si>
    <t>Tổng các hộ có sản lượng dưới 100 kWh</t>
  </si>
  <si>
    <t>Hướng dẫn:</t>
  </si>
  <si>
    <t>Tổng tiền điện</t>
  </si>
  <si>
    <t>1. Để tính tuổi có thể dùng hàm YEAR, tính chênh lệch năm hiện tại và năm sinh</t>
  </si>
  <si>
    <t>Hộ tiêu thụ lớn nhất</t>
  </si>
  <si>
    <t>2. Xếp hạng dùng hàm RANK</t>
  </si>
  <si>
    <t>Hộ tiêu thụ ít nhất</t>
  </si>
  <si>
    <t>3. Tiền điện = Sản lượng tiêu thụ * Giá điện trung bình</t>
  </si>
  <si>
    <t>Sản lượng tiêu thụ trung bình</t>
  </si>
  <si>
    <t>4. Phân loại sử dụng hàm IF</t>
  </si>
  <si>
    <t>Số hộ nghèo</t>
  </si>
  <si>
    <t>5. Các hàm khác: COUNTIF, SUMIF, SUM, MAX, MIN, AVERAGE</t>
  </si>
  <si>
    <t>Xếp hạng Ông Bằng trên xuống</t>
  </si>
  <si>
    <t>Xếp hạng  Ông Bằng dưới lên</t>
  </si>
  <si>
    <t>Số đầu kỳ</t>
  </si>
  <si>
    <t>Số cuối kỳ</t>
  </si>
  <si>
    <t>Sản lượng 
tiêu thụ</t>
  </si>
  <si>
    <t>Tiền điện</t>
  </si>
  <si>
    <t>Sản lượng
Mức 0</t>
  </si>
  <si>
    <t>Sản lượng
Mức 1</t>
  </si>
  <si>
    <t>Sản lượng
Mức 2</t>
  </si>
  <si>
    <t>Sản lượng
Mức 3</t>
  </si>
  <si>
    <t>Sản lượng
Mức 4</t>
  </si>
  <si>
    <t>Sản lượng
Mức 5</t>
  </si>
  <si>
    <t>Sản lượng
Mức 6</t>
  </si>
  <si>
    <t xml:space="preserve">Nguyễn Thanh </t>
  </si>
  <si>
    <t>Tuấn</t>
  </si>
  <si>
    <t xml:space="preserve">Nguyễn Văn </t>
  </si>
  <si>
    <t xml:space="preserve">Nguyễn Anh </t>
  </si>
  <si>
    <t xml:space="preserve">Thân Ngọc </t>
  </si>
  <si>
    <t xml:space="preserve">Hoàng </t>
  </si>
  <si>
    <t>Tùng</t>
  </si>
  <si>
    <t xml:space="preserve">Lê Thanh </t>
  </si>
  <si>
    <t xml:space="preserve">Nguyễn Tiến </t>
  </si>
  <si>
    <t>Túy</t>
  </si>
  <si>
    <t xml:space="preserve">Vi Hồng </t>
  </si>
  <si>
    <t>Tuyến</t>
  </si>
  <si>
    <t>Tính các ô màu vàng</t>
  </si>
  <si>
    <t>Biểu giá điện sinh hoạt</t>
  </si>
  <si>
    <t>Mức 0</t>
  </si>
  <si>
    <t>Mức 1</t>
  </si>
  <si>
    <t>Mức 2</t>
  </si>
  <si>
    <t>Mức 3</t>
  </si>
  <si>
    <t>Mức 4</t>
  </si>
  <si>
    <t>Mức 5</t>
  </si>
  <si>
    <t>Múc 6</t>
  </si>
  <si>
    <t>Số điện (kWh)</t>
  </si>
  <si>
    <t>0-50</t>
  </si>
  <si>
    <t>51-100</t>
  </si>
  <si>
    <t>101-150</t>
  </si>
  <si>
    <t>151-200</t>
  </si>
  <si>
    <t>201-300</t>
  </si>
  <si>
    <t>301-400</t>
  </si>
  <si>
    <t>&gt;400</t>
  </si>
  <si>
    <t>1. Sản lượng tiêu thụ = Số đầu kỳ - Số cuối kỳ</t>
  </si>
  <si>
    <t>Giá (đồng)</t>
  </si>
  <si>
    <t>2. Tiền diện = Tổng (sản lượng các mức*Giá các mức)</t>
  </si>
  <si>
    <t>3. Các hàm sử dụng: IF, SUMPRODUCT</t>
  </si>
  <si>
    <t>4. Các tính năng sử dụng: Định dạng số liệu, AUTOFILL</t>
  </si>
  <si>
    <t>Phân bố nhu cầu điện</t>
  </si>
  <si>
    <t>Sinh hoạt</t>
  </si>
  <si>
    <t>Công nghiệp</t>
  </si>
  <si>
    <t>Dịch vụ TM</t>
  </si>
  <si>
    <t>Nông nghiệp</t>
  </si>
  <si>
    <t>Hành chính sự nghiệp</t>
  </si>
  <si>
    <t>Phụ tải Sinh hoạt</t>
  </si>
  <si>
    <t>Chiếu sáng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</si>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</sst>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_$_-;\-* #,##0.00_$_-;_-* &quot;-&quot;??_$_-;_-@"/>
    <numFmt numFmtId="165" formatCode="#,##0\ [$đ-42A]"/>
    <numFmt numFmtId="166" formatCode="#,##0.0"/>
    <numFmt numFmtId="167" formatCode="_-* #,##0.00\ [$đồng-100C]_-;\-* #,##0.00\ [$fr.-100C]_-;_-* &quot;-&quot;??\ [$fr.-100C]_-;_-@"/>
    <numFmt numFmtId="168" formatCode="_-* #,##0_$_-;\-* #,##0_$_-;_-* &quot;-&quot;??_$_-;_-@"/>
  </numFmts>
  <fonts count="13" x14ac:knownFonts="1">
    <font>
      <sz val="10"/>
      <color rgb="FF000000"/>
      <name val="Arial"/>
      <scheme val="minor"/>
    </font>
    <font>
      <b/>
      <sz val="15"/>
      <color theme="1"/>
      <name val="Times New Roman"/>
    </font>
    <font>
      <sz val="10"/>
      <name val="Arial"/>
    </font>
    <font>
      <sz val="12"/>
      <color theme="1"/>
      <name val="Calibri"/>
    </font>
    <font>
      <b/>
      <sz val="12"/>
      <color theme="1"/>
      <name val="Times New Roman"/>
    </font>
    <font>
      <b/>
      <sz val="10"/>
      <color theme="1"/>
      <name val="Arial"/>
    </font>
    <font>
      <sz val="12"/>
      <color theme="1"/>
      <name val="Times New Roman"/>
    </font>
    <font>
      <sz val="10"/>
      <color theme="1"/>
      <name val="Arial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2"/>
      <color theme="1"/>
      <name val="Arial"/>
    </font>
    <font>
      <b/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3" fillId="0" borderId="0" xfId="0" applyFont="1"/>
    <xf numFmtId="0" fontId="3" fillId="0" borderId="0" xfId="0" applyFont="1" applyAlignment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164" fontId="4" fillId="2" borderId="7" xfId="0" applyNumberFormat="1" applyFont="1" applyFill="1" applyBorder="1" applyAlignment="1"/>
    <xf numFmtId="14" fontId="4" fillId="2" borderId="7" xfId="0" applyNumberFormat="1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/>
    <xf numFmtId="14" fontId="6" fillId="0" borderId="7" xfId="0" applyNumberFormat="1" applyFont="1" applyBorder="1" applyAlignment="1">
      <alignment horizontal="center"/>
    </xf>
    <xf numFmtId="1" fontId="3" fillId="3" borderId="7" xfId="0" applyNumberFormat="1" applyFont="1" applyFill="1" applyBorder="1" applyAlignment="1"/>
    <xf numFmtId="0" fontId="6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7" xfId="0" applyFont="1" applyFill="1" applyBorder="1" applyAlignment="1"/>
    <xf numFmtId="165" fontId="3" fillId="3" borderId="7" xfId="0" applyNumberFormat="1" applyFont="1" applyFill="1" applyBorder="1" applyAlignment="1"/>
    <xf numFmtId="2" fontId="3" fillId="3" borderId="9" xfId="0" applyNumberFormat="1" applyFont="1" applyFill="1" applyBorder="1" applyAlignment="1"/>
    <xf numFmtId="1" fontId="3" fillId="0" borderId="0" xfId="0" applyNumberFormat="1" applyFont="1" applyAlignment="1"/>
    <xf numFmtId="164" fontId="6" fillId="0" borderId="7" xfId="0" applyNumberFormat="1" applyFont="1" applyBorder="1" applyAlignment="1"/>
    <xf numFmtId="0" fontId="7" fillId="0" borderId="7" xfId="0" applyFont="1" applyBorder="1" applyAlignment="1"/>
    <xf numFmtId="0" fontId="7" fillId="0" borderId="7" xfId="0" applyFont="1" applyBorder="1" applyAlignment="1">
      <alignment horizontal="center"/>
    </xf>
    <xf numFmtId="0" fontId="3" fillId="0" borderId="7" xfId="0" applyFont="1" applyBorder="1" applyAlignment="1"/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/>
    <xf numFmtId="14" fontId="6" fillId="0" borderId="11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4" fontId="3" fillId="0" borderId="0" xfId="0" applyNumberFormat="1" applyFont="1" applyAlignment="1"/>
    <xf numFmtId="0" fontId="8" fillId="0" borderId="0" xfId="0" applyFont="1" applyAlignment="1">
      <alignment horizontal="right"/>
    </xf>
    <xf numFmtId="0" fontId="8" fillId="0" borderId="0" xfId="0" applyFont="1" applyAlignment="1"/>
    <xf numFmtId="49" fontId="3" fillId="3" borderId="6" xfId="0" applyNumberFormat="1" applyFont="1" applyFill="1" applyBorder="1" applyAlignment="1"/>
    <xf numFmtId="166" fontId="3" fillId="0" borderId="0" xfId="0" applyNumberFormat="1" applyFont="1" applyAlignment="1"/>
    <xf numFmtId="0" fontId="9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49" fontId="3" fillId="3" borderId="9" xfId="0" applyNumberFormat="1" applyFont="1" applyFill="1" applyBorder="1" applyAlignment="1"/>
    <xf numFmtId="0" fontId="3" fillId="4" borderId="17" xfId="0" applyFont="1" applyFill="1" applyBorder="1" applyAlignment="1"/>
    <xf numFmtId="165" fontId="3" fillId="3" borderId="9" xfId="0" applyNumberFormat="1" applyFont="1" applyFill="1" applyBorder="1" applyAlignment="1"/>
    <xf numFmtId="0" fontId="10" fillId="4" borderId="17" xfId="0" applyFont="1" applyFill="1" applyBorder="1" applyAlignment="1"/>
    <xf numFmtId="14" fontId="3" fillId="4" borderId="17" xfId="0" applyNumberFormat="1" applyFont="1" applyFill="1" applyBorder="1" applyAlignment="1"/>
    <xf numFmtId="0" fontId="9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49" fontId="3" fillId="3" borderId="21" xfId="0" applyNumberFormat="1" applyFont="1" applyFill="1" applyBorder="1" applyAlignment="1"/>
    <xf numFmtId="0" fontId="3" fillId="0" borderId="5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7" xfId="0" applyFont="1" applyBorder="1"/>
    <xf numFmtId="0" fontId="6" fillId="0" borderId="7" xfId="0" applyFont="1" applyBorder="1" applyAlignment="1">
      <alignment horizontal="right"/>
    </xf>
    <xf numFmtId="0" fontId="3" fillId="3" borderId="7" xfId="0" applyFont="1" applyFill="1" applyBorder="1"/>
    <xf numFmtId="165" fontId="3" fillId="3" borderId="7" xfId="0" applyNumberFormat="1" applyFont="1" applyFill="1" applyBorder="1"/>
    <xf numFmtId="0" fontId="6" fillId="0" borderId="10" xfId="0" applyFont="1" applyBorder="1" applyAlignment="1">
      <alignment horizontal="center"/>
    </xf>
    <xf numFmtId="0" fontId="6" fillId="0" borderId="11" xfId="0" applyFont="1" applyBorder="1"/>
    <xf numFmtId="0" fontId="6" fillId="0" borderId="11" xfId="0" applyFont="1" applyBorder="1" applyAlignment="1">
      <alignment horizontal="right"/>
    </xf>
    <xf numFmtId="167" fontId="3" fillId="0" borderId="0" xfId="0" applyNumberFormat="1" applyFont="1" applyAlignment="1"/>
    <xf numFmtId="0" fontId="3" fillId="2" borderId="22" xfId="0" applyFont="1" applyFill="1" applyBorder="1" applyAlignment="1"/>
    <xf numFmtId="0" fontId="3" fillId="2" borderId="17" xfId="0" applyFont="1" applyFill="1" applyBorder="1" applyAlignment="1"/>
    <xf numFmtId="0" fontId="3" fillId="2" borderId="2" xfId="0" applyFont="1" applyFill="1" applyBorder="1" applyAlignment="1"/>
    <xf numFmtId="0" fontId="3" fillId="2" borderId="5" xfId="0" applyFont="1" applyFill="1" applyBorder="1" applyAlignment="1">
      <alignment horizontal="center"/>
    </xf>
    <xf numFmtId="0" fontId="8" fillId="4" borderId="17" xfId="0" applyFont="1" applyFill="1" applyBorder="1" applyAlignment="1"/>
    <xf numFmtId="0" fontId="3" fillId="2" borderId="8" xfId="0" applyFont="1" applyFill="1" applyBorder="1" applyAlignment="1"/>
    <xf numFmtId="0" fontId="3" fillId="2" borderId="7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5" borderId="17" xfId="0" applyFont="1" applyFill="1" applyBorder="1" applyAlignment="1"/>
    <xf numFmtId="168" fontId="3" fillId="0" borderId="0" xfId="0" applyNumberFormat="1" applyFont="1" applyAlignment="1"/>
    <xf numFmtId="0" fontId="11" fillId="0" borderId="0" xfId="0" applyFont="1" applyAlignment="1"/>
    <xf numFmtId="0" fontId="12" fillId="0" borderId="0" xfId="0" applyFont="1" applyAlignment="1"/>
    <xf numFmtId="0" fontId="11" fillId="0" borderId="8" xfId="0" applyFont="1" applyBorder="1" applyAlignment="1"/>
    <xf numFmtId="0" fontId="11" fillId="0" borderId="9" xfId="0" applyFont="1" applyBorder="1" applyAlignment="1">
      <alignment horizontal="right"/>
    </xf>
    <xf numFmtId="0" fontId="11" fillId="0" borderId="10" xfId="0" applyFont="1" applyBorder="1" applyAlignment="1"/>
    <xf numFmtId="0" fontId="11" fillId="0" borderId="21" xfId="0" applyFont="1" applyBorder="1" applyAlignment="1">
      <alignment horizontal="right"/>
    </xf>
    <xf numFmtId="0" fontId="3" fillId="0" borderId="2" xfId="0" applyFont="1" applyBorder="1" applyAlignment="1"/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3" xfId="0" applyFont="1" applyBorder="1" applyAlignment="1">
      <alignment horizontal="center"/>
    </xf>
    <xf numFmtId="0" fontId="2" fillId="0" borderId="4" xfId="0" applyFont="1" applyBorder="1"/>
    <xf numFmtId="0" fontId="9" fillId="0" borderId="12" xfId="0" applyFont="1" applyBorder="1"/>
    <xf numFmtId="0" fontId="2" fillId="0" borderId="13" xfId="0" applyFont="1" applyBorder="1"/>
    <xf numFmtId="0" fontId="11" fillId="0" borderId="12" xfId="0" quotePrefix="1" applyFont="1" applyBorder="1" applyAlignment="1">
      <alignment horizontal="center"/>
    </xf>
    <xf numFmtId="0" fontId="2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rgbClr val="757575"/>
                </a:solidFill>
                <a:latin typeface="+mn-lt"/>
              </a:defRPr>
            </a:pPr>
            <a:r>
              <a:rPr lang="vi-VN" sz="1400" b="1">
                <a:solidFill>
                  <a:srgbClr val="757575"/>
                </a:solidFill>
                <a:latin typeface="+mn-lt"/>
              </a:rPr>
              <a:t>Phân bố nhu cầu điện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'Trang tính3'!$G$4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C147-4835-BD84-887F34B5FD1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C147-4835-BD84-887F34B5FD1C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C147-4835-BD84-887F34B5FD1C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C147-4835-BD84-887F34B5FD1C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C147-4835-BD84-887F34B5FD1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'Trang tính3'!$F$5:$F$9</c:f>
              <c:strCache>
                <c:ptCount val="5"/>
                <c:pt idx="0">
                  <c:v>Sinh hoạt</c:v>
                </c:pt>
                <c:pt idx="1">
                  <c:v>Công nghiệp</c:v>
                </c:pt>
                <c:pt idx="2">
                  <c:v>Dịch vụ TM</c:v>
                </c:pt>
                <c:pt idx="3">
                  <c:v>Nông nghiệp</c:v>
                </c:pt>
                <c:pt idx="4">
                  <c:v>Hành chính sự nghiệp</c:v>
                </c:pt>
              </c:strCache>
            </c:strRef>
          </c:cat>
          <c:val>
            <c:numRef>
              <c:f>'Trang tính3'!$G$5:$G$9</c:f>
              <c:numCache>
                <c:formatCode>General</c:formatCode>
                <c:ptCount val="5"/>
                <c:pt idx="0">
                  <c:v>500000</c:v>
                </c:pt>
                <c:pt idx="1">
                  <c:v>300000</c:v>
                </c:pt>
                <c:pt idx="2">
                  <c:v>100000</c:v>
                </c:pt>
                <c:pt idx="3">
                  <c:v>200000</c:v>
                </c:pt>
                <c:pt idx="4">
                  <c:v>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147-4835-BD84-887F34B5F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l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vi-V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vi-VN" b="1">
                <a:solidFill>
                  <a:srgbClr val="757575"/>
                </a:solidFill>
                <a:latin typeface="+mn-lt"/>
              </a:rPr>
              <a:t>Đồ thị phụ tải ngày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'Trang tính4'!$B$1</c:f>
              <c:strCache>
                <c:ptCount val="1"/>
                <c:pt idx="0">
                  <c:v>Phụ tải Sinh hoạt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'Trang tính4'!$A$2:$A$25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'Trang tính4'!$B$2:$B$25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21</c:v>
                </c:pt>
                <c:pt idx="3">
                  <c:v>21</c:v>
                </c:pt>
                <c:pt idx="4">
                  <c:v>25</c:v>
                </c:pt>
                <c:pt idx="5">
                  <c:v>29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45</c:v>
                </c:pt>
                <c:pt idx="11">
                  <c:v>40</c:v>
                </c:pt>
                <c:pt idx="12">
                  <c:v>35</c:v>
                </c:pt>
                <c:pt idx="13">
                  <c:v>40</c:v>
                </c:pt>
                <c:pt idx="14">
                  <c:v>40</c:v>
                </c:pt>
                <c:pt idx="15">
                  <c:v>35</c:v>
                </c:pt>
                <c:pt idx="16">
                  <c:v>45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40</c:v>
                </c:pt>
                <c:pt idx="21">
                  <c:v>30</c:v>
                </c:pt>
                <c:pt idx="22">
                  <c:v>25</c:v>
                </c:pt>
                <c:pt idx="23">
                  <c:v>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B6D-42E0-9377-1254871A26A9}"/>
            </c:ext>
          </c:extLst>
        </c:ser>
        <c:ser>
          <c:idx val="1"/>
          <c:order val="1"/>
          <c:tx>
            <c:strRef>
              <c:f>'Trang tính4'!$C$1</c:f>
              <c:strCache>
                <c:ptCount val="1"/>
                <c:pt idx="0">
                  <c:v>Chiếu sáng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'Trang tính4'!$A$2:$A$25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'Trang tính4'!$C$2:$C$25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8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8</c:v>
                </c:pt>
                <c:pt idx="22">
                  <c:v>6</c:v>
                </c:pt>
                <c:pt idx="23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B6D-42E0-9377-1254871A26A9}"/>
            </c:ext>
          </c:extLst>
        </c:ser>
        <c:ser>
          <c:idx val="2"/>
          <c:order val="2"/>
          <c:tx>
            <c:strRef>
              <c:f>'Trang tính4'!$D$1</c:f>
              <c:strCache>
                <c:ptCount val="1"/>
                <c:pt idx="0">
                  <c:v>CN</c:v>
                </c:pt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'Trang tính4'!$A$2:$A$25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'Trang tính4'!$D$2:$D$25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9</c:v>
                </c:pt>
                <c:pt idx="6">
                  <c:v>20</c:v>
                </c:pt>
                <c:pt idx="7">
                  <c:v>40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40</c:v>
                </c:pt>
                <c:pt idx="12">
                  <c:v>40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50</c:v>
                </c:pt>
                <c:pt idx="17">
                  <c:v>40</c:v>
                </c:pt>
                <c:pt idx="18">
                  <c:v>40</c:v>
                </c:pt>
                <c:pt idx="19">
                  <c:v>30</c:v>
                </c:pt>
                <c:pt idx="20">
                  <c:v>10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B6D-42E0-9377-1254871A2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652583"/>
        <c:axId val="1198969072"/>
      </c:barChart>
      <c:catAx>
        <c:axId val="168652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vi-V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vi-VN"/>
          </a:p>
        </c:txPr>
        <c:crossAx val="1198969072"/>
        <c:crosses val="autoZero"/>
        <c:auto val="1"/>
        <c:lblAlgn val="ctr"/>
        <c:lblOffset val="100"/>
        <c:noMultiLvlLbl val="1"/>
      </c:catAx>
      <c:valAx>
        <c:axId val="1198969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vi-V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vi-VN"/>
          </a:p>
        </c:txPr>
        <c:crossAx val="168652583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vi-V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382905</xdr:colOff>
      <xdr:row>2</xdr:row>
      <xdr:rowOff>120015</xdr:rowOff>
    </xdr:from>
    <xdr:ext cx="5715000" cy="3533775"/>
    <xdr:graphicFrame macro="">
      <xdr:nvGraphicFramePr>
        <xdr:cNvPr id="2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161924</xdr:colOff>
      <xdr:row>1</xdr:row>
      <xdr:rowOff>76200</xdr:rowOff>
    </xdr:from>
    <xdr:ext cx="10269855" cy="4747260"/>
    <xdr:graphicFrame macro="">
      <xdr:nvGraphicFramePr>
        <xdr:cNvPr id="2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e%20Bai%20tap%20Exce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B1"/>
      <sheetName val="CB2"/>
      <sheetName val="CB3"/>
      <sheetName val="CB4"/>
      <sheetName val="CB5"/>
    </sheetNames>
    <sheetDataSet>
      <sheetData sheetId="0">
        <row r="3">
          <cell r="I3">
            <v>38727</v>
          </cell>
        </row>
      </sheetData>
      <sheetData sheetId="1"/>
      <sheetData sheetId="2"/>
      <sheetData sheetId="3"/>
      <sheetData sheetId="4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2"/>
  <sheetViews>
    <sheetView tabSelected="1" workbookViewId="0">
      <selection activeCell="I3" sqref="I3"/>
    </sheetView>
  </sheetViews>
  <sheetFormatPr defaultColWidth="12.6640625" defaultRowHeight="15.75" customHeight="1" x14ac:dyDescent="0.25"/>
  <sheetData>
    <row r="1" spans="1:14" ht="15.75" customHeight="1" x14ac:dyDescent="0.3">
      <c r="A1" s="81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1"/>
      <c r="L1" s="2"/>
      <c r="M1" s="2"/>
      <c r="N1" s="2"/>
    </row>
    <row r="2" spans="1:14" ht="15.75" customHeight="1" x14ac:dyDescent="0.3">
      <c r="A2" s="3" t="s">
        <v>1</v>
      </c>
      <c r="B2" s="83" t="s">
        <v>2</v>
      </c>
      <c r="C2" s="84"/>
      <c r="D2" s="4" t="s">
        <v>3</v>
      </c>
      <c r="E2" s="4" t="s">
        <v>4</v>
      </c>
      <c r="F2" s="5" t="s">
        <v>5</v>
      </c>
      <c r="G2" s="6" t="s">
        <v>6</v>
      </c>
      <c r="H2" s="6" t="s">
        <v>7</v>
      </c>
      <c r="I2" s="6" t="s">
        <v>8</v>
      </c>
      <c r="J2" s="7" t="s">
        <v>9</v>
      </c>
      <c r="K2" s="2"/>
      <c r="L2" s="8" t="s">
        <v>10</v>
      </c>
      <c r="M2" s="9" t="s">
        <v>11</v>
      </c>
      <c r="N2" s="2"/>
    </row>
    <row r="3" spans="1:14" ht="15.75" customHeight="1" x14ac:dyDescent="0.3">
      <c r="A3" s="10">
        <v>1</v>
      </c>
      <c r="B3" s="11" t="s">
        <v>12</v>
      </c>
      <c r="C3" s="11" t="s">
        <v>13</v>
      </c>
      <c r="D3" s="12">
        <v>30633</v>
      </c>
      <c r="E3" s="13">
        <f ca="1">YEAR(TODAY())-YEAR(D3)</f>
        <v>43</v>
      </c>
      <c r="F3" s="14">
        <v>39</v>
      </c>
      <c r="G3" s="15">
        <v>993</v>
      </c>
      <c r="H3" s="16"/>
      <c r="I3" s="17" t="b">
        <f>[1]CB1!$I$3=F3*G3</f>
        <v>1</v>
      </c>
      <c r="J3" s="18" t="str">
        <f t="shared" ref="J3:J10" si="0">IF(F3&lt;100,"nghèo",IF(F3&lt;=200,"bình thường","giàu"))</f>
        <v>nghèo</v>
      </c>
      <c r="K3" s="19"/>
      <c r="L3" s="20" t="s">
        <v>14</v>
      </c>
      <c r="M3" s="12" t="s">
        <v>15</v>
      </c>
      <c r="N3" s="2"/>
    </row>
    <row r="4" spans="1:14" ht="15.75" customHeight="1" x14ac:dyDescent="0.3">
      <c r="A4" s="10">
        <v>2</v>
      </c>
      <c r="B4" s="11" t="s">
        <v>16</v>
      </c>
      <c r="C4" s="11" t="s">
        <v>17</v>
      </c>
      <c r="D4" s="12">
        <v>28432</v>
      </c>
      <c r="E4" s="13">
        <f t="shared" ref="E3:E10" ca="1" si="1">YEAR(TODAY())-YEAR(D4)</f>
        <v>49</v>
      </c>
      <c r="F4" s="14">
        <v>36</v>
      </c>
      <c r="G4" s="15">
        <v>1400</v>
      </c>
      <c r="H4" s="16">
        <f t="shared" ref="H3:H10" si="2">RANK(F4,$F$3:$F$10,0)</f>
        <v>8</v>
      </c>
      <c r="I4" s="17">
        <f t="shared" ref="I3:I10" si="3">F4*G4</f>
        <v>50400</v>
      </c>
      <c r="J4" s="18" t="str">
        <f t="shared" si="0"/>
        <v>nghèo</v>
      </c>
      <c r="K4" s="19"/>
      <c r="L4" s="21" t="s">
        <v>18</v>
      </c>
      <c r="M4" s="22" t="s">
        <v>19</v>
      </c>
      <c r="N4" s="2"/>
    </row>
    <row r="5" spans="1:14" ht="15.75" customHeight="1" x14ac:dyDescent="0.3">
      <c r="A5" s="10">
        <v>3</v>
      </c>
      <c r="B5" s="11" t="s">
        <v>20</v>
      </c>
      <c r="C5" s="11" t="s">
        <v>21</v>
      </c>
      <c r="D5" s="12">
        <v>29485</v>
      </c>
      <c r="E5" s="13">
        <f t="shared" ca="1" si="1"/>
        <v>46</v>
      </c>
      <c r="F5" s="14">
        <v>330</v>
      </c>
      <c r="G5" s="15">
        <v>2300</v>
      </c>
      <c r="H5" s="16">
        <f t="shared" si="2"/>
        <v>1</v>
      </c>
      <c r="I5" s="17">
        <f t="shared" si="3"/>
        <v>759000</v>
      </c>
      <c r="J5" s="18" t="str">
        <f t="shared" si="0"/>
        <v>giàu</v>
      </c>
      <c r="K5" s="19"/>
      <c r="L5" s="23" t="s">
        <v>22</v>
      </c>
      <c r="M5" s="22" t="s">
        <v>23</v>
      </c>
      <c r="N5" s="2"/>
    </row>
    <row r="6" spans="1:14" ht="15.75" customHeight="1" x14ac:dyDescent="0.3">
      <c r="A6" s="10">
        <v>4</v>
      </c>
      <c r="B6" s="11" t="s">
        <v>24</v>
      </c>
      <c r="C6" s="11" t="s">
        <v>21</v>
      </c>
      <c r="D6" s="12">
        <v>30641</v>
      </c>
      <c r="E6" s="13">
        <f t="shared" ca="1" si="1"/>
        <v>43</v>
      </c>
      <c r="F6" s="14">
        <v>300</v>
      </c>
      <c r="G6" s="15">
        <v>2100</v>
      </c>
      <c r="H6" s="16">
        <f t="shared" si="2"/>
        <v>2</v>
      </c>
      <c r="I6" s="17">
        <f t="shared" si="3"/>
        <v>630000</v>
      </c>
      <c r="J6" s="18" t="str">
        <f t="shared" si="0"/>
        <v>giàu</v>
      </c>
      <c r="K6" s="19"/>
      <c r="L6" s="2"/>
      <c r="M6" s="2"/>
      <c r="N6" s="2"/>
    </row>
    <row r="7" spans="1:14" ht="15.75" customHeight="1" x14ac:dyDescent="0.3">
      <c r="A7" s="10">
        <v>5</v>
      </c>
      <c r="B7" s="11" t="s">
        <v>25</v>
      </c>
      <c r="C7" s="11" t="s">
        <v>26</v>
      </c>
      <c r="D7" s="12">
        <v>30679</v>
      </c>
      <c r="E7" s="13">
        <f t="shared" ca="1" si="1"/>
        <v>43</v>
      </c>
      <c r="F7" s="14">
        <v>270</v>
      </c>
      <c r="G7" s="15">
        <v>2200</v>
      </c>
      <c r="H7" s="16">
        <f t="shared" si="2"/>
        <v>3</v>
      </c>
      <c r="I7" s="17">
        <f t="shared" si="3"/>
        <v>594000</v>
      </c>
      <c r="J7" s="18" t="str">
        <f t="shared" si="0"/>
        <v>giàu</v>
      </c>
      <c r="K7" s="19"/>
      <c r="L7" s="2"/>
      <c r="M7" s="2"/>
      <c r="N7" s="2"/>
    </row>
    <row r="8" spans="1:14" ht="15.75" customHeight="1" x14ac:dyDescent="0.3">
      <c r="A8" s="10">
        <v>6</v>
      </c>
      <c r="B8" s="11" t="s">
        <v>27</v>
      </c>
      <c r="C8" s="11" t="s">
        <v>28</v>
      </c>
      <c r="D8" s="12">
        <v>28149</v>
      </c>
      <c r="E8" s="13">
        <f t="shared" ca="1" si="1"/>
        <v>49</v>
      </c>
      <c r="F8" s="14">
        <v>240</v>
      </c>
      <c r="G8" s="15">
        <v>2230</v>
      </c>
      <c r="H8" s="16">
        <f t="shared" si="2"/>
        <v>4</v>
      </c>
      <c r="I8" s="17">
        <f t="shared" si="3"/>
        <v>535200</v>
      </c>
      <c r="J8" s="18" t="str">
        <f t="shared" si="0"/>
        <v>giàu</v>
      </c>
      <c r="K8" s="19"/>
      <c r="L8" s="2"/>
      <c r="M8" s="2"/>
      <c r="N8" s="2"/>
    </row>
    <row r="9" spans="1:14" ht="15.75" customHeight="1" x14ac:dyDescent="0.3">
      <c r="A9" s="10">
        <v>7</v>
      </c>
      <c r="B9" s="11" t="s">
        <v>29</v>
      </c>
      <c r="C9" s="11" t="s">
        <v>28</v>
      </c>
      <c r="D9" s="12">
        <v>28168</v>
      </c>
      <c r="E9" s="13">
        <f t="shared" ca="1" si="1"/>
        <v>49</v>
      </c>
      <c r="F9" s="14">
        <v>210</v>
      </c>
      <c r="G9" s="15">
        <v>2330</v>
      </c>
      <c r="H9" s="16">
        <f t="shared" si="2"/>
        <v>5</v>
      </c>
      <c r="I9" s="17">
        <f t="shared" si="3"/>
        <v>489300</v>
      </c>
      <c r="J9" s="18" t="str">
        <f t="shared" si="0"/>
        <v>giàu</v>
      </c>
      <c r="K9" s="19"/>
      <c r="L9" s="2"/>
      <c r="M9" s="2"/>
      <c r="N9" s="2"/>
    </row>
    <row r="10" spans="1:14" ht="15.75" customHeight="1" x14ac:dyDescent="0.3">
      <c r="A10" s="24">
        <v>8</v>
      </c>
      <c r="B10" s="25" t="s">
        <v>30</v>
      </c>
      <c r="C10" s="25" t="s">
        <v>28</v>
      </c>
      <c r="D10" s="26">
        <v>28932</v>
      </c>
      <c r="E10" s="13">
        <f t="shared" ca="1" si="1"/>
        <v>47</v>
      </c>
      <c r="F10" s="27">
        <v>180</v>
      </c>
      <c r="G10" s="28">
        <v>2400</v>
      </c>
      <c r="H10" s="16">
        <f t="shared" si="2"/>
        <v>6</v>
      </c>
      <c r="I10" s="17">
        <f t="shared" si="3"/>
        <v>432000</v>
      </c>
      <c r="J10" s="18" t="str">
        <f t="shared" si="0"/>
        <v>bình thường</v>
      </c>
      <c r="K10" s="19"/>
      <c r="L10" s="2"/>
      <c r="M10" s="2"/>
      <c r="N10" s="2"/>
    </row>
    <row r="11" spans="1:14" ht="15.75" customHeight="1" x14ac:dyDescent="0.3">
      <c r="A11" s="2"/>
      <c r="B11" s="2"/>
      <c r="C11" s="2"/>
      <c r="D11" s="29"/>
      <c r="E11" s="29"/>
      <c r="F11" s="2"/>
      <c r="G11" s="2"/>
      <c r="H11" s="2"/>
      <c r="I11" s="2"/>
      <c r="J11" s="2"/>
      <c r="K11" s="1"/>
      <c r="L11" s="2"/>
      <c r="M11" s="2"/>
      <c r="N11" s="2"/>
    </row>
    <row r="12" spans="1:14" ht="15.75" customHeight="1" x14ac:dyDescent="0.3">
      <c r="A12" s="2"/>
      <c r="B12" s="2"/>
      <c r="C12" s="2"/>
      <c r="D12" s="2"/>
      <c r="E12" s="2"/>
      <c r="F12" s="2"/>
      <c r="G12" s="30" t="s">
        <v>31</v>
      </c>
      <c r="H12" s="31" t="s">
        <v>32</v>
      </c>
      <c r="I12" s="29"/>
      <c r="J12" s="29"/>
      <c r="K12" s="1"/>
      <c r="L12" s="2"/>
      <c r="M12" s="2"/>
      <c r="N12" s="29"/>
    </row>
    <row r="13" spans="1:14" ht="15.75" customHeight="1" x14ac:dyDescent="0.3">
      <c r="A13" s="85" t="s">
        <v>33</v>
      </c>
      <c r="B13" s="86"/>
      <c r="C13" s="84"/>
      <c r="D13" s="32">
        <f>SUM(F3:F10)</f>
        <v>1605</v>
      </c>
      <c r="E13" s="33"/>
      <c r="F13" s="2"/>
      <c r="G13" s="2"/>
      <c r="H13" s="2"/>
      <c r="I13" s="29"/>
      <c r="J13" s="29"/>
      <c r="K13" s="1"/>
      <c r="L13" s="2"/>
      <c r="M13" s="2"/>
      <c r="N13" s="2"/>
    </row>
    <row r="14" spans="1:14" ht="15.75" customHeight="1" x14ac:dyDescent="0.3">
      <c r="A14" s="34" t="s">
        <v>34</v>
      </c>
      <c r="B14" s="35"/>
      <c r="C14" s="36"/>
      <c r="D14" s="37">
        <f>SUMIF(F3:F10,"&lt;100")</f>
        <v>75</v>
      </c>
      <c r="E14" s="33"/>
      <c r="F14" s="38" t="s">
        <v>35</v>
      </c>
      <c r="G14" s="38"/>
      <c r="H14" s="38"/>
      <c r="I14" s="38"/>
      <c r="J14" s="38"/>
      <c r="K14" s="38"/>
      <c r="L14" s="2"/>
      <c r="M14" s="2"/>
      <c r="N14" s="2"/>
    </row>
    <row r="15" spans="1:14" ht="15.75" customHeight="1" x14ac:dyDescent="0.3">
      <c r="A15" s="34" t="s">
        <v>36</v>
      </c>
      <c r="B15" s="35"/>
      <c r="C15" s="36"/>
      <c r="D15" s="39">
        <f>SUM(I3:I10)</f>
        <v>3489900</v>
      </c>
      <c r="E15" s="33"/>
      <c r="F15" s="40" t="s">
        <v>37</v>
      </c>
      <c r="G15" s="38"/>
      <c r="H15" s="38"/>
      <c r="I15" s="38"/>
      <c r="J15" s="38"/>
      <c r="K15" s="38"/>
      <c r="L15" s="2"/>
      <c r="M15" s="2"/>
      <c r="N15" s="2"/>
    </row>
    <row r="16" spans="1:14" ht="15.75" customHeight="1" x14ac:dyDescent="0.3">
      <c r="A16" s="34" t="s">
        <v>38</v>
      </c>
      <c r="B16" s="35"/>
      <c r="C16" s="36"/>
      <c r="D16" s="37">
        <f>MAX(F3:F10)</f>
        <v>330</v>
      </c>
      <c r="E16" s="33"/>
      <c r="F16" s="38" t="s">
        <v>39</v>
      </c>
      <c r="G16" s="38"/>
      <c r="H16" s="38"/>
      <c r="I16" s="38"/>
      <c r="J16" s="38"/>
      <c r="K16" s="38"/>
      <c r="L16" s="2"/>
      <c r="M16" s="2"/>
      <c r="N16" s="2"/>
    </row>
    <row r="17" spans="1:14" ht="15.75" customHeight="1" x14ac:dyDescent="0.3">
      <c r="A17" s="34" t="s">
        <v>40</v>
      </c>
      <c r="B17" s="35"/>
      <c r="C17" s="36"/>
      <c r="D17" s="37">
        <f>MIN(F3:F10)</f>
        <v>36</v>
      </c>
      <c r="E17" s="33"/>
      <c r="F17" s="38" t="s">
        <v>41</v>
      </c>
      <c r="G17" s="38"/>
      <c r="H17" s="38"/>
      <c r="I17" s="38"/>
      <c r="J17" s="38"/>
      <c r="K17" s="38"/>
      <c r="L17" s="2"/>
      <c r="M17" s="2"/>
      <c r="N17" s="2"/>
    </row>
    <row r="18" spans="1:14" ht="15.75" customHeight="1" x14ac:dyDescent="0.3">
      <c r="A18" s="34" t="s">
        <v>42</v>
      </c>
      <c r="B18" s="35"/>
      <c r="C18" s="36"/>
      <c r="D18" s="37">
        <f>AVERAGE(F3:F9)</f>
        <v>203.57142857142858</v>
      </c>
      <c r="E18" s="33"/>
      <c r="F18" s="38" t="s">
        <v>43</v>
      </c>
      <c r="G18" s="38"/>
      <c r="H18" s="38"/>
      <c r="I18" s="38"/>
      <c r="J18" s="38"/>
      <c r="K18" s="38"/>
      <c r="L18" s="2"/>
      <c r="M18" s="2"/>
      <c r="N18" s="2"/>
    </row>
    <row r="19" spans="1:14" ht="15.75" customHeight="1" x14ac:dyDescent="0.3">
      <c r="A19" s="34" t="s">
        <v>44</v>
      </c>
      <c r="B19" s="35"/>
      <c r="C19" s="36"/>
      <c r="D19" s="37">
        <f>COUNTIF(J3:J10,"nghèo")</f>
        <v>2</v>
      </c>
      <c r="E19" s="33"/>
      <c r="F19" s="38" t="s">
        <v>45</v>
      </c>
      <c r="G19" s="38"/>
      <c r="H19" s="38"/>
      <c r="I19" s="41"/>
      <c r="J19" s="38"/>
      <c r="K19" s="38"/>
      <c r="L19" s="2"/>
      <c r="M19" s="2"/>
      <c r="N19" s="2"/>
    </row>
    <row r="20" spans="1:14" ht="15.75" customHeight="1" x14ac:dyDescent="0.3">
      <c r="A20" s="34" t="s">
        <v>46</v>
      </c>
      <c r="B20" s="35"/>
      <c r="C20" s="36"/>
      <c r="D20" s="37">
        <f>RANK(F7,$F$3:$F$10,0)</f>
        <v>3</v>
      </c>
      <c r="E20" s="33"/>
      <c r="F20" s="2"/>
      <c r="G20" s="2"/>
      <c r="H20" s="2"/>
      <c r="I20" s="2"/>
      <c r="J20" s="1"/>
      <c r="K20" s="2"/>
      <c r="L20" s="2"/>
      <c r="M20" s="2"/>
      <c r="N20" s="2"/>
    </row>
    <row r="21" spans="1:14" ht="15.75" customHeight="1" x14ac:dyDescent="0.3">
      <c r="A21" s="42" t="s">
        <v>47</v>
      </c>
      <c r="B21" s="43"/>
      <c r="C21" s="44"/>
      <c r="D21" s="45">
        <f>RANK(F7,$F$3:$F$10,0)</f>
        <v>3</v>
      </c>
      <c r="E21" s="33"/>
      <c r="F21" s="2"/>
      <c r="G21" s="2"/>
      <c r="H21" s="2"/>
      <c r="I21" s="2"/>
      <c r="J21" s="1"/>
      <c r="K21" s="2"/>
      <c r="L21" s="2"/>
      <c r="M21" s="2"/>
      <c r="N21" s="2"/>
    </row>
    <row r="22" spans="1:14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1"/>
      <c r="L22" s="2"/>
      <c r="M22" s="2"/>
      <c r="N22" s="2"/>
    </row>
  </sheetData>
  <mergeCells count="3">
    <mergeCell ref="A1:J1"/>
    <mergeCell ref="B2:C2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0"/>
  <sheetViews>
    <sheetView workbookViewId="0"/>
  </sheetViews>
  <sheetFormatPr defaultColWidth="12.6640625" defaultRowHeight="15.75" customHeight="1" x14ac:dyDescent="0.25"/>
  <sheetData>
    <row r="1" spans="1:15" ht="15.75" customHeight="1" x14ac:dyDescent="0.3">
      <c r="A1" s="3" t="s">
        <v>1</v>
      </c>
      <c r="B1" s="83" t="s">
        <v>2</v>
      </c>
      <c r="C1" s="84"/>
      <c r="D1" s="5" t="s">
        <v>48</v>
      </c>
      <c r="E1" s="5" t="s">
        <v>49</v>
      </c>
      <c r="F1" s="5" t="s">
        <v>50</v>
      </c>
      <c r="G1" s="6" t="s">
        <v>51</v>
      </c>
      <c r="H1" s="46" t="s">
        <v>52</v>
      </c>
      <c r="I1" s="46" t="s">
        <v>53</v>
      </c>
      <c r="J1" s="46" t="s">
        <v>54</v>
      </c>
      <c r="K1" s="46" t="s">
        <v>55</v>
      </c>
      <c r="L1" s="46" t="s">
        <v>56</v>
      </c>
      <c r="M1" s="46" t="s">
        <v>57</v>
      </c>
      <c r="N1" s="46" t="s">
        <v>58</v>
      </c>
      <c r="O1" s="2"/>
    </row>
    <row r="2" spans="1:15" ht="15.75" customHeight="1" x14ac:dyDescent="0.3">
      <c r="A2" s="47">
        <v>1</v>
      </c>
      <c r="B2" s="48" t="s">
        <v>59</v>
      </c>
      <c r="C2" s="48" t="s">
        <v>60</v>
      </c>
      <c r="D2" s="49">
        <v>1230</v>
      </c>
      <c r="E2" s="49">
        <v>1450</v>
      </c>
      <c r="F2" s="50">
        <f t="shared" ref="F2:F9" si="0">E2-D2</f>
        <v>220</v>
      </c>
      <c r="G2" s="51">
        <f t="shared" ref="G2:G9" si="1">SUMPRODUCT(H2:N2, $H$14:$N$14)</f>
        <v>348050</v>
      </c>
      <c r="H2" s="50">
        <f t="shared" ref="H2:H9" si="2">IF(F2&gt;50, 50, F2)</f>
        <v>50</v>
      </c>
      <c r="I2" s="50">
        <f t="shared" ref="I2:I9" si="3">IF(F2&gt;100, 50, IF(F2&gt;50, F2-50, 0))</f>
        <v>50</v>
      </c>
      <c r="J2" s="50">
        <f t="shared" ref="J2:J9" si="4">IF(F2&gt;150, 50, IF(F2&gt;100, F2-100, 0))</f>
        <v>50</v>
      </c>
      <c r="K2" s="50">
        <f t="shared" ref="K2:K9" si="5">IF(F2&gt;200, 50, IF(F2&gt;150, F2-150, 0))</f>
        <v>50</v>
      </c>
      <c r="L2" s="50">
        <f t="shared" ref="L2:L9" si="6">IF(F2&gt;300, 100, IF(F2&gt;200, F2-200, 0))</f>
        <v>20</v>
      </c>
      <c r="M2" s="50">
        <f t="shared" ref="M2:M9" si="7">IF(F2&gt;400, 100, IF(F2&gt;300, F2-300, 0))</f>
        <v>0</v>
      </c>
      <c r="N2" s="50">
        <f t="shared" ref="N2:N9" si="8">IF(F2&gt;400, F2-400, 0)</f>
        <v>0</v>
      </c>
      <c r="O2" s="2"/>
    </row>
    <row r="3" spans="1:15" ht="15.75" customHeight="1" x14ac:dyDescent="0.3">
      <c r="A3" s="47">
        <v>2</v>
      </c>
      <c r="B3" s="48" t="s">
        <v>61</v>
      </c>
      <c r="C3" s="48" t="s">
        <v>60</v>
      </c>
      <c r="D3" s="49">
        <v>3420</v>
      </c>
      <c r="E3" s="49">
        <v>3460</v>
      </c>
      <c r="F3" s="50">
        <f t="shared" si="0"/>
        <v>40</v>
      </c>
      <c r="G3" s="51">
        <f t="shared" si="1"/>
        <v>39720</v>
      </c>
      <c r="H3" s="50">
        <f t="shared" si="2"/>
        <v>40</v>
      </c>
      <c r="I3" s="50">
        <f t="shared" si="3"/>
        <v>0</v>
      </c>
      <c r="J3" s="50">
        <f t="shared" si="4"/>
        <v>0</v>
      </c>
      <c r="K3" s="50">
        <f t="shared" si="5"/>
        <v>0</v>
      </c>
      <c r="L3" s="50">
        <f t="shared" si="6"/>
        <v>0</v>
      </c>
      <c r="M3" s="50">
        <f t="shared" si="7"/>
        <v>0</v>
      </c>
      <c r="N3" s="50">
        <f t="shared" si="8"/>
        <v>0</v>
      </c>
      <c r="O3" s="2"/>
    </row>
    <row r="4" spans="1:15" ht="15.75" customHeight="1" x14ac:dyDescent="0.3">
      <c r="A4" s="47">
        <v>3</v>
      </c>
      <c r="B4" s="48" t="s">
        <v>62</v>
      </c>
      <c r="C4" s="48" t="s">
        <v>60</v>
      </c>
      <c r="D4" s="49">
        <v>3503</v>
      </c>
      <c r="E4" s="49">
        <v>3700</v>
      </c>
      <c r="F4" s="50">
        <f t="shared" si="0"/>
        <v>197</v>
      </c>
      <c r="G4" s="51">
        <f t="shared" si="1"/>
        <v>297718</v>
      </c>
      <c r="H4" s="50">
        <f t="shared" si="2"/>
        <v>50</v>
      </c>
      <c r="I4" s="50">
        <f t="shared" si="3"/>
        <v>50</v>
      </c>
      <c r="J4" s="50">
        <f t="shared" si="4"/>
        <v>50</v>
      </c>
      <c r="K4" s="50">
        <f t="shared" si="5"/>
        <v>47</v>
      </c>
      <c r="L4" s="50">
        <f t="shared" si="6"/>
        <v>0</v>
      </c>
      <c r="M4" s="50">
        <f t="shared" si="7"/>
        <v>0</v>
      </c>
      <c r="N4" s="50">
        <f t="shared" si="8"/>
        <v>0</v>
      </c>
      <c r="O4" s="2"/>
    </row>
    <row r="5" spans="1:15" ht="15.75" customHeight="1" x14ac:dyDescent="0.3">
      <c r="A5" s="47">
        <v>4</v>
      </c>
      <c r="B5" s="48" t="s">
        <v>63</v>
      </c>
      <c r="C5" s="48" t="s">
        <v>60</v>
      </c>
      <c r="D5" s="49">
        <v>7902</v>
      </c>
      <c r="E5" s="49">
        <v>8400</v>
      </c>
      <c r="F5" s="50">
        <f t="shared" si="0"/>
        <v>498</v>
      </c>
      <c r="G5" s="51">
        <f t="shared" si="1"/>
        <v>998110</v>
      </c>
      <c r="H5" s="50">
        <f t="shared" si="2"/>
        <v>50</v>
      </c>
      <c r="I5" s="50">
        <f t="shared" si="3"/>
        <v>50</v>
      </c>
      <c r="J5" s="50">
        <f t="shared" si="4"/>
        <v>50</v>
      </c>
      <c r="K5" s="50">
        <f t="shared" si="5"/>
        <v>50</v>
      </c>
      <c r="L5" s="50">
        <f t="shared" si="6"/>
        <v>100</v>
      </c>
      <c r="M5" s="50">
        <f t="shared" si="7"/>
        <v>100</v>
      </c>
      <c r="N5" s="50">
        <f t="shared" si="8"/>
        <v>98</v>
      </c>
      <c r="O5" s="2"/>
    </row>
    <row r="6" spans="1:15" ht="15.75" customHeight="1" x14ac:dyDescent="0.3">
      <c r="A6" s="47">
        <v>5</v>
      </c>
      <c r="B6" s="48" t="s">
        <v>64</v>
      </c>
      <c r="C6" s="48" t="s">
        <v>65</v>
      </c>
      <c r="D6" s="49">
        <v>2345</v>
      </c>
      <c r="E6" s="49">
        <v>2740</v>
      </c>
      <c r="F6" s="50">
        <f t="shared" si="0"/>
        <v>395</v>
      </c>
      <c r="G6" s="51">
        <f t="shared" si="1"/>
        <v>749145</v>
      </c>
      <c r="H6" s="50">
        <f t="shared" si="2"/>
        <v>50</v>
      </c>
      <c r="I6" s="50">
        <f t="shared" si="3"/>
        <v>50</v>
      </c>
      <c r="J6" s="50">
        <f t="shared" si="4"/>
        <v>50</v>
      </c>
      <c r="K6" s="50">
        <f t="shared" si="5"/>
        <v>50</v>
      </c>
      <c r="L6" s="50">
        <f t="shared" si="6"/>
        <v>100</v>
      </c>
      <c r="M6" s="50">
        <f t="shared" si="7"/>
        <v>95</v>
      </c>
      <c r="N6" s="50">
        <f t="shared" si="8"/>
        <v>0</v>
      </c>
      <c r="O6" s="2"/>
    </row>
    <row r="7" spans="1:15" ht="15.75" customHeight="1" x14ac:dyDescent="0.3">
      <c r="A7" s="47">
        <v>6</v>
      </c>
      <c r="B7" s="48" t="s">
        <v>66</v>
      </c>
      <c r="C7" s="48" t="s">
        <v>65</v>
      </c>
      <c r="D7" s="49">
        <v>2500</v>
      </c>
      <c r="E7" s="49">
        <v>3100</v>
      </c>
      <c r="F7" s="50">
        <f t="shared" si="0"/>
        <v>600</v>
      </c>
      <c r="G7" s="51">
        <f t="shared" si="1"/>
        <v>1244950</v>
      </c>
      <c r="H7" s="50">
        <f t="shared" si="2"/>
        <v>50</v>
      </c>
      <c r="I7" s="50">
        <f t="shared" si="3"/>
        <v>50</v>
      </c>
      <c r="J7" s="50">
        <f t="shared" si="4"/>
        <v>50</v>
      </c>
      <c r="K7" s="50">
        <f t="shared" si="5"/>
        <v>50</v>
      </c>
      <c r="L7" s="50">
        <f t="shared" si="6"/>
        <v>100</v>
      </c>
      <c r="M7" s="50">
        <f t="shared" si="7"/>
        <v>100</v>
      </c>
      <c r="N7" s="50">
        <f t="shared" si="8"/>
        <v>200</v>
      </c>
      <c r="O7" s="2"/>
    </row>
    <row r="8" spans="1:15" ht="15.75" customHeight="1" x14ac:dyDescent="0.3">
      <c r="A8" s="47">
        <v>7</v>
      </c>
      <c r="B8" s="48" t="s">
        <v>67</v>
      </c>
      <c r="C8" s="48" t="s">
        <v>68</v>
      </c>
      <c r="D8" s="49">
        <v>2520</v>
      </c>
      <c r="E8" s="49">
        <v>3000</v>
      </c>
      <c r="F8" s="50">
        <f t="shared" si="0"/>
        <v>480</v>
      </c>
      <c r="G8" s="51">
        <f t="shared" si="1"/>
        <v>954550</v>
      </c>
      <c r="H8" s="50">
        <f t="shared" si="2"/>
        <v>50</v>
      </c>
      <c r="I8" s="50">
        <f t="shared" si="3"/>
        <v>50</v>
      </c>
      <c r="J8" s="50">
        <f t="shared" si="4"/>
        <v>50</v>
      </c>
      <c r="K8" s="50">
        <f t="shared" si="5"/>
        <v>50</v>
      </c>
      <c r="L8" s="50">
        <f t="shared" si="6"/>
        <v>100</v>
      </c>
      <c r="M8" s="50">
        <f t="shared" si="7"/>
        <v>100</v>
      </c>
      <c r="N8" s="50">
        <f t="shared" si="8"/>
        <v>80</v>
      </c>
      <c r="O8" s="2"/>
    </row>
    <row r="9" spans="1:15" ht="15.75" customHeight="1" x14ac:dyDescent="0.3">
      <c r="A9" s="52">
        <v>8</v>
      </c>
      <c r="B9" s="53" t="s">
        <v>69</v>
      </c>
      <c r="C9" s="53" t="s">
        <v>70</v>
      </c>
      <c r="D9" s="54">
        <v>2100</v>
      </c>
      <c r="E9" s="54">
        <v>2170</v>
      </c>
      <c r="F9" s="50">
        <f t="shared" si="0"/>
        <v>70</v>
      </c>
      <c r="G9" s="51">
        <f t="shared" si="1"/>
        <v>78010</v>
      </c>
      <c r="H9" s="50">
        <f t="shared" si="2"/>
        <v>50</v>
      </c>
      <c r="I9" s="50">
        <f t="shared" si="3"/>
        <v>20</v>
      </c>
      <c r="J9" s="50">
        <f t="shared" si="4"/>
        <v>0</v>
      </c>
      <c r="K9" s="50">
        <f t="shared" si="5"/>
        <v>0</v>
      </c>
      <c r="L9" s="50">
        <f t="shared" si="6"/>
        <v>0</v>
      </c>
      <c r="M9" s="50">
        <f t="shared" si="7"/>
        <v>0</v>
      </c>
      <c r="N9" s="50">
        <f t="shared" si="8"/>
        <v>0</v>
      </c>
      <c r="O9" s="2"/>
    </row>
    <row r="10" spans="1:15" ht="15.75" customHeight="1" x14ac:dyDescent="0.3">
      <c r="A10" s="2"/>
      <c r="B10" s="2"/>
      <c r="C10" s="2"/>
      <c r="D10" s="2"/>
      <c r="E10" s="2"/>
      <c r="F10" s="2"/>
      <c r="G10" s="2"/>
      <c r="H10" s="55"/>
      <c r="I10" s="2"/>
      <c r="J10" s="2"/>
      <c r="K10" s="2"/>
      <c r="L10" s="2"/>
      <c r="M10" s="2"/>
      <c r="N10" s="2"/>
      <c r="O10" s="2"/>
    </row>
    <row r="11" spans="1:15" ht="15.75" customHeight="1" x14ac:dyDescent="0.3">
      <c r="A11" s="31" t="s">
        <v>31</v>
      </c>
      <c r="B11" s="31" t="s">
        <v>71</v>
      </c>
      <c r="C11" s="2"/>
      <c r="D11" s="2"/>
      <c r="E11" s="2"/>
      <c r="F11" s="2"/>
      <c r="G11" s="56" t="s">
        <v>72</v>
      </c>
      <c r="H11" s="56"/>
      <c r="I11" s="56"/>
      <c r="J11" s="56"/>
      <c r="K11" s="56"/>
      <c r="L11" s="56"/>
      <c r="M11" s="56"/>
      <c r="N11" s="57"/>
      <c r="O11" s="2"/>
    </row>
    <row r="12" spans="1:15" ht="15.75" customHeight="1" x14ac:dyDescent="0.3">
      <c r="A12" s="2"/>
      <c r="B12" s="2"/>
      <c r="C12" s="2"/>
      <c r="D12" s="2"/>
      <c r="E12" s="2"/>
      <c r="F12" s="2"/>
      <c r="G12" s="58"/>
      <c r="H12" s="59" t="s">
        <v>73</v>
      </c>
      <c r="I12" s="59" t="s">
        <v>74</v>
      </c>
      <c r="J12" s="59" t="s">
        <v>75</v>
      </c>
      <c r="K12" s="59" t="s">
        <v>76</v>
      </c>
      <c r="L12" s="59" t="s">
        <v>77</v>
      </c>
      <c r="M12" s="59" t="s">
        <v>78</v>
      </c>
      <c r="N12" s="59" t="s">
        <v>79</v>
      </c>
      <c r="O12" s="2"/>
    </row>
    <row r="13" spans="1:15" ht="15.75" customHeight="1" x14ac:dyDescent="0.3">
      <c r="A13" s="60" t="s">
        <v>35</v>
      </c>
      <c r="B13" s="38"/>
      <c r="C13" s="38"/>
      <c r="D13" s="38"/>
      <c r="E13" s="38"/>
      <c r="F13" s="38"/>
      <c r="G13" s="61" t="s">
        <v>80</v>
      </c>
      <c r="H13" s="62" t="s">
        <v>81</v>
      </c>
      <c r="I13" s="62" t="s">
        <v>82</v>
      </c>
      <c r="J13" s="62" t="s">
        <v>83</v>
      </c>
      <c r="K13" s="62" t="s">
        <v>84</v>
      </c>
      <c r="L13" s="62" t="s">
        <v>85</v>
      </c>
      <c r="M13" s="62" t="s">
        <v>86</v>
      </c>
      <c r="N13" s="63" t="s">
        <v>87</v>
      </c>
      <c r="O13" s="2"/>
    </row>
    <row r="14" spans="1:15" ht="15.75" customHeight="1" x14ac:dyDescent="0.3">
      <c r="A14" s="40" t="s">
        <v>88</v>
      </c>
      <c r="B14" s="38"/>
      <c r="C14" s="38"/>
      <c r="D14" s="38"/>
      <c r="E14" s="38"/>
      <c r="F14" s="38"/>
      <c r="G14" s="61" t="s">
        <v>89</v>
      </c>
      <c r="H14" s="62">
        <v>993</v>
      </c>
      <c r="I14" s="62">
        <v>1418</v>
      </c>
      <c r="J14" s="62">
        <v>1622</v>
      </c>
      <c r="K14" s="62">
        <v>2044</v>
      </c>
      <c r="L14" s="62">
        <v>2210</v>
      </c>
      <c r="M14" s="62">
        <v>2361</v>
      </c>
      <c r="N14" s="62">
        <v>2420</v>
      </c>
      <c r="O14" s="64"/>
    </row>
    <row r="15" spans="1:15" ht="15.75" customHeight="1" x14ac:dyDescent="0.3">
      <c r="A15" s="38" t="s">
        <v>90</v>
      </c>
      <c r="B15" s="38"/>
      <c r="C15" s="38"/>
      <c r="D15" s="38"/>
      <c r="E15" s="38"/>
      <c r="F15" s="38"/>
      <c r="G15" s="2"/>
      <c r="H15" s="2"/>
      <c r="I15" s="2"/>
      <c r="J15" s="2"/>
      <c r="K15" s="2"/>
      <c r="L15" s="2"/>
      <c r="M15" s="65"/>
      <c r="N15" s="2"/>
      <c r="O15" s="2"/>
    </row>
    <row r="16" spans="1:15" ht="15.75" customHeight="1" x14ac:dyDescent="0.3">
      <c r="A16" s="38" t="s">
        <v>91</v>
      </c>
      <c r="B16" s="38"/>
      <c r="C16" s="38"/>
      <c r="D16" s="38"/>
      <c r="E16" s="38"/>
      <c r="F16" s="38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3">
      <c r="A17" s="38" t="s">
        <v>92</v>
      </c>
      <c r="B17" s="38"/>
      <c r="C17" s="38"/>
      <c r="D17" s="38"/>
      <c r="E17" s="38"/>
      <c r="F17" s="38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3">
      <c r="A18" s="38" t="s">
        <v>45</v>
      </c>
      <c r="B18" s="38"/>
      <c r="C18" s="38"/>
      <c r="D18" s="41"/>
      <c r="E18" s="38"/>
      <c r="F18" s="38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6"/>
  <sheetViews>
    <sheetView workbookViewId="0">
      <selection activeCell="E3" sqref="E3"/>
    </sheetView>
  </sheetViews>
  <sheetFormatPr defaultColWidth="12.6640625" defaultRowHeight="15.75" customHeight="1" x14ac:dyDescent="0.25"/>
  <sheetData>
    <row r="1" spans="1:12" x14ac:dyDescent="0.25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2" x14ac:dyDescent="0.25">
      <c r="A2" s="66"/>
      <c r="B2" s="66"/>
      <c r="C2" s="66"/>
      <c r="D2" s="66"/>
      <c r="E2" s="66"/>
      <c r="F2" s="67"/>
      <c r="G2" s="66"/>
      <c r="H2" s="66"/>
      <c r="I2" s="66"/>
      <c r="J2" s="66"/>
      <c r="K2" s="66"/>
      <c r="L2" s="66"/>
    </row>
    <row r="3" spans="1:12" x14ac:dyDescent="0.2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x14ac:dyDescent="0.25">
      <c r="A4" s="66"/>
      <c r="B4" s="66"/>
      <c r="C4" s="66"/>
      <c r="D4" s="66"/>
      <c r="E4" s="66"/>
      <c r="F4" s="87" t="s">
        <v>93</v>
      </c>
      <c r="G4" s="88"/>
      <c r="H4" s="66"/>
      <c r="I4" s="66"/>
      <c r="J4" s="66"/>
      <c r="K4" s="66"/>
      <c r="L4" s="66"/>
    </row>
    <row r="5" spans="1:12" x14ac:dyDescent="0.25">
      <c r="A5" s="66"/>
      <c r="B5" s="66"/>
      <c r="C5" s="66"/>
      <c r="D5" s="66"/>
      <c r="E5" s="66"/>
      <c r="F5" s="68" t="s">
        <v>94</v>
      </c>
      <c r="G5" s="69">
        <v>500000</v>
      </c>
      <c r="H5" s="66"/>
      <c r="I5" s="66"/>
      <c r="J5" s="66"/>
      <c r="K5" s="66"/>
      <c r="L5" s="66"/>
    </row>
    <row r="6" spans="1:12" x14ac:dyDescent="0.25">
      <c r="A6" s="66"/>
      <c r="B6" s="66"/>
      <c r="C6" s="66"/>
      <c r="D6" s="66"/>
      <c r="E6" s="66"/>
      <c r="F6" s="68" t="s">
        <v>95</v>
      </c>
      <c r="G6" s="69">
        <v>300000</v>
      </c>
      <c r="H6" s="66"/>
      <c r="I6" s="66"/>
      <c r="J6" s="66"/>
      <c r="K6" s="66"/>
      <c r="L6" s="66"/>
    </row>
    <row r="7" spans="1:12" x14ac:dyDescent="0.25">
      <c r="A7" s="66"/>
      <c r="B7" s="66"/>
      <c r="C7" s="66"/>
      <c r="D7" s="66"/>
      <c r="E7" s="66"/>
      <c r="F7" s="68" t="s">
        <v>96</v>
      </c>
      <c r="G7" s="69">
        <v>100000</v>
      </c>
      <c r="H7" s="66"/>
      <c r="I7" s="66"/>
      <c r="J7" s="66"/>
      <c r="K7" s="66"/>
      <c r="L7" s="66"/>
    </row>
    <row r="8" spans="1:12" x14ac:dyDescent="0.25">
      <c r="A8" s="66"/>
      <c r="B8" s="66"/>
      <c r="C8" s="66"/>
      <c r="D8" s="66"/>
      <c r="E8" s="66"/>
      <c r="F8" s="68" t="s">
        <v>97</v>
      </c>
      <c r="G8" s="69">
        <v>200000</v>
      </c>
      <c r="H8" s="66"/>
      <c r="I8" s="66"/>
      <c r="J8" s="66"/>
      <c r="K8" s="66"/>
      <c r="L8" s="66"/>
    </row>
    <row r="9" spans="1:12" x14ac:dyDescent="0.25">
      <c r="A9" s="66"/>
      <c r="B9" s="66"/>
      <c r="C9" s="66"/>
      <c r="D9" s="66"/>
      <c r="E9" s="66"/>
      <c r="F9" s="70" t="s">
        <v>98</v>
      </c>
      <c r="G9" s="71">
        <v>545454</v>
      </c>
      <c r="H9" s="66"/>
      <c r="I9" s="66"/>
      <c r="J9" s="66"/>
      <c r="K9" s="66"/>
      <c r="L9" s="66"/>
    </row>
    <row r="10" spans="1:12" x14ac:dyDescent="0.25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</row>
    <row r="11" spans="1:12" x14ac:dyDescent="0.25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</row>
    <row r="12" spans="1:12" x14ac:dyDescent="0.2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</row>
    <row r="13" spans="1:12" x14ac:dyDescent="0.25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</row>
    <row r="14" spans="1:12" x14ac:dyDescent="0.2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</row>
    <row r="15" spans="1:12" x14ac:dyDescent="0.2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</row>
    <row r="16" spans="1:12" x14ac:dyDescent="0.25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</row>
  </sheetData>
  <mergeCells count="1">
    <mergeCell ref="F4:G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5"/>
  <sheetViews>
    <sheetView workbookViewId="0"/>
  </sheetViews>
  <sheetFormatPr defaultColWidth="12.6640625" defaultRowHeight="15.75" customHeight="1" x14ac:dyDescent="0.25"/>
  <sheetData>
    <row r="1" spans="1:4" ht="15.75" customHeight="1" x14ac:dyDescent="0.3">
      <c r="A1" s="72"/>
      <c r="B1" s="73" t="s">
        <v>99</v>
      </c>
      <c r="C1" s="73" t="s">
        <v>100</v>
      </c>
      <c r="D1" s="74" t="s">
        <v>101</v>
      </c>
    </row>
    <row r="2" spans="1:4" ht="15.75" customHeight="1" x14ac:dyDescent="0.3">
      <c r="A2" s="75">
        <v>1</v>
      </c>
      <c r="B2" s="15">
        <v>20</v>
      </c>
      <c r="C2" s="76">
        <v>2</v>
      </c>
      <c r="D2" s="77">
        <v>5</v>
      </c>
    </row>
    <row r="3" spans="1:4" ht="15.75" customHeight="1" x14ac:dyDescent="0.3">
      <c r="A3" s="75">
        <v>2</v>
      </c>
      <c r="B3" s="15">
        <v>20</v>
      </c>
      <c r="C3" s="76">
        <v>2</v>
      </c>
      <c r="D3" s="77">
        <v>5</v>
      </c>
    </row>
    <row r="4" spans="1:4" ht="15.75" customHeight="1" x14ac:dyDescent="0.3">
      <c r="A4" s="75">
        <v>3</v>
      </c>
      <c r="B4" s="15">
        <v>21</v>
      </c>
      <c r="C4" s="76">
        <v>2</v>
      </c>
      <c r="D4" s="77">
        <v>5</v>
      </c>
    </row>
    <row r="5" spans="1:4" ht="15.75" customHeight="1" x14ac:dyDescent="0.3">
      <c r="A5" s="75">
        <v>4</v>
      </c>
      <c r="B5" s="15">
        <v>21</v>
      </c>
      <c r="C5" s="76">
        <v>4</v>
      </c>
      <c r="D5" s="77">
        <v>5</v>
      </c>
    </row>
    <row r="6" spans="1:4" ht="15.75" customHeight="1" x14ac:dyDescent="0.3">
      <c r="A6" s="75">
        <v>5</v>
      </c>
      <c r="B6" s="15">
        <v>25</v>
      </c>
      <c r="C6" s="76">
        <v>6</v>
      </c>
      <c r="D6" s="77">
        <v>5</v>
      </c>
    </row>
    <row r="7" spans="1:4" ht="15.75" customHeight="1" x14ac:dyDescent="0.3">
      <c r="A7" s="75">
        <v>6</v>
      </c>
      <c r="B7" s="15">
        <v>29</v>
      </c>
      <c r="C7" s="76">
        <v>8</v>
      </c>
      <c r="D7" s="77">
        <v>9</v>
      </c>
    </row>
    <row r="8" spans="1:4" ht="15.75" customHeight="1" x14ac:dyDescent="0.3">
      <c r="A8" s="75">
        <v>7</v>
      </c>
      <c r="B8" s="15">
        <v>30</v>
      </c>
      <c r="C8" s="76">
        <v>6</v>
      </c>
      <c r="D8" s="77">
        <v>20</v>
      </c>
    </row>
    <row r="9" spans="1:4" ht="15.75" customHeight="1" x14ac:dyDescent="0.3">
      <c r="A9" s="75">
        <v>8</v>
      </c>
      <c r="B9" s="15">
        <v>35</v>
      </c>
      <c r="C9" s="76">
        <v>4</v>
      </c>
      <c r="D9" s="77">
        <v>40</v>
      </c>
    </row>
    <row r="10" spans="1:4" ht="15.75" customHeight="1" x14ac:dyDescent="0.3">
      <c r="A10" s="75">
        <v>9</v>
      </c>
      <c r="B10" s="15">
        <v>40</v>
      </c>
      <c r="C10" s="76">
        <v>4</v>
      </c>
      <c r="D10" s="77">
        <v>60</v>
      </c>
    </row>
    <row r="11" spans="1:4" ht="15.75" customHeight="1" x14ac:dyDescent="0.3">
      <c r="A11" s="75">
        <v>10</v>
      </c>
      <c r="B11" s="15">
        <v>45</v>
      </c>
      <c r="C11" s="76">
        <v>4</v>
      </c>
      <c r="D11" s="77">
        <v>60</v>
      </c>
    </row>
    <row r="12" spans="1:4" ht="15.75" customHeight="1" x14ac:dyDescent="0.3">
      <c r="A12" s="75">
        <v>11</v>
      </c>
      <c r="B12" s="15">
        <v>45</v>
      </c>
      <c r="C12" s="76">
        <v>4</v>
      </c>
      <c r="D12" s="77">
        <v>60</v>
      </c>
    </row>
    <row r="13" spans="1:4" ht="15.75" customHeight="1" x14ac:dyDescent="0.3">
      <c r="A13" s="75">
        <v>12</v>
      </c>
      <c r="B13" s="15">
        <v>40</v>
      </c>
      <c r="C13" s="76">
        <v>4</v>
      </c>
      <c r="D13" s="77">
        <v>40</v>
      </c>
    </row>
    <row r="14" spans="1:4" ht="15.75" customHeight="1" x14ac:dyDescent="0.3">
      <c r="A14" s="75">
        <v>13</v>
      </c>
      <c r="B14" s="15">
        <v>35</v>
      </c>
      <c r="C14" s="76">
        <v>4</v>
      </c>
      <c r="D14" s="77">
        <v>40</v>
      </c>
    </row>
    <row r="15" spans="1:4" ht="15.75" customHeight="1" x14ac:dyDescent="0.3">
      <c r="A15" s="75">
        <v>14</v>
      </c>
      <c r="B15" s="15">
        <v>40</v>
      </c>
      <c r="C15" s="76">
        <v>4</v>
      </c>
      <c r="D15" s="77">
        <v>60</v>
      </c>
    </row>
    <row r="16" spans="1:4" ht="15.75" customHeight="1" x14ac:dyDescent="0.3">
      <c r="A16" s="75">
        <v>15</v>
      </c>
      <c r="B16" s="15">
        <v>40</v>
      </c>
      <c r="C16" s="76">
        <v>4</v>
      </c>
      <c r="D16" s="77">
        <v>60</v>
      </c>
    </row>
    <row r="17" spans="1:4" ht="15.75" customHeight="1" x14ac:dyDescent="0.3">
      <c r="A17" s="75">
        <v>16</v>
      </c>
      <c r="B17" s="15">
        <v>35</v>
      </c>
      <c r="C17" s="76">
        <v>4</v>
      </c>
      <c r="D17" s="77">
        <v>60</v>
      </c>
    </row>
    <row r="18" spans="1:4" ht="15.75" customHeight="1" x14ac:dyDescent="0.3">
      <c r="A18" s="75">
        <v>17</v>
      </c>
      <c r="B18" s="15">
        <v>45</v>
      </c>
      <c r="C18" s="76">
        <v>8</v>
      </c>
      <c r="D18" s="77">
        <v>50</v>
      </c>
    </row>
    <row r="19" spans="1:4" ht="15.75" customHeight="1" x14ac:dyDescent="0.3">
      <c r="A19" s="75">
        <v>18</v>
      </c>
      <c r="B19" s="15">
        <v>50</v>
      </c>
      <c r="C19" s="76">
        <v>10</v>
      </c>
      <c r="D19" s="77">
        <v>40</v>
      </c>
    </row>
    <row r="20" spans="1:4" ht="15.75" customHeight="1" x14ac:dyDescent="0.3">
      <c r="A20" s="75">
        <v>19</v>
      </c>
      <c r="B20" s="15">
        <v>50</v>
      </c>
      <c r="C20" s="76">
        <v>10</v>
      </c>
      <c r="D20" s="77">
        <v>40</v>
      </c>
    </row>
    <row r="21" spans="1:4" ht="15.75" customHeight="1" x14ac:dyDescent="0.3">
      <c r="A21" s="75">
        <v>20</v>
      </c>
      <c r="B21" s="15">
        <v>50</v>
      </c>
      <c r="C21" s="76">
        <v>10</v>
      </c>
      <c r="D21" s="77">
        <v>30</v>
      </c>
    </row>
    <row r="22" spans="1:4" ht="15.75" customHeight="1" x14ac:dyDescent="0.3">
      <c r="A22" s="75">
        <v>21</v>
      </c>
      <c r="B22" s="15">
        <v>40</v>
      </c>
      <c r="C22" s="76">
        <v>10</v>
      </c>
      <c r="D22" s="77">
        <v>10</v>
      </c>
    </row>
    <row r="23" spans="1:4" ht="15.75" customHeight="1" x14ac:dyDescent="0.3">
      <c r="A23" s="75">
        <v>22</v>
      </c>
      <c r="B23" s="15">
        <v>30</v>
      </c>
      <c r="C23" s="76">
        <v>8</v>
      </c>
      <c r="D23" s="77">
        <v>5</v>
      </c>
    </row>
    <row r="24" spans="1:4" ht="15.75" customHeight="1" x14ac:dyDescent="0.3">
      <c r="A24" s="75">
        <v>23</v>
      </c>
      <c r="B24" s="15">
        <v>25</v>
      </c>
      <c r="C24" s="76">
        <v>6</v>
      </c>
      <c r="D24" s="77">
        <v>5</v>
      </c>
    </row>
    <row r="25" spans="1:4" ht="15.75" customHeight="1" x14ac:dyDescent="0.3">
      <c r="A25" s="78">
        <v>24</v>
      </c>
      <c r="B25" s="28">
        <v>23</v>
      </c>
      <c r="C25" s="79">
        <v>4</v>
      </c>
      <c r="D25" s="80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Trang tính1</vt:lpstr>
      <vt:lpstr>Trang tính2</vt:lpstr>
      <vt:lpstr>Trang tính3</vt:lpstr>
      <vt:lpstr>Trang tính4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2026-01-07T03:48:18Z</dcterms:modified>
</cp:coreProperties>
</file>