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Documents\BAI GIANG\NHAP NGANH\"/>
    </mc:Choice>
  </mc:AlternateContent>
  <xr:revisionPtr revIDLastSave="0" documentId="13_ncr:1_{52852D0A-4813-459E-8E40-171DF5B6D79D}" xr6:coauthVersionLast="47" xr6:coauthVersionMax="47" xr10:uidLastSave="{00000000-0000-0000-0000-000000000000}"/>
  <bookViews>
    <workbookView xWindow="1520" yWindow="440" windowWidth="17880" windowHeight="12840" tabRatio="500" xr2:uid="{00000000-000D-0000-FFFF-FFFF00000000}"/>
  </bookViews>
  <sheets>
    <sheet name="CB1" sheetId="1" r:id="rId1"/>
    <sheet name="CB2" sheetId="2" r:id="rId2"/>
    <sheet name="CB3" sheetId="5" r:id="rId3"/>
    <sheet name="CB4" sheetId="6" r:id="rId4"/>
    <sheet name="CB5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23" l="1"/>
  <c r="L19" i="23" l="1"/>
  <c r="L47" i="23" l="1"/>
  <c r="L20" i="23"/>
  <c r="L48" i="23" l="1"/>
  <c r="L21" i="23"/>
  <c r="L49" i="23" l="1"/>
  <c r="L22" i="23"/>
  <c r="L50" i="23" l="1"/>
  <c r="L23" i="23"/>
  <c r="L51" i="23" l="1"/>
  <c r="L24" i="23"/>
  <c r="L52" i="23" l="1"/>
  <c r="L25" i="23"/>
  <c r="L53" i="23" l="1"/>
  <c r="L26" i="23"/>
  <c r="L54" i="23" l="1"/>
  <c r="L27" i="23"/>
  <c r="L55" i="23" l="1"/>
  <c r="L28" i="23"/>
  <c r="L56" i="23" l="1"/>
  <c r="L29" i="23"/>
  <c r="L57" i="23" l="1"/>
  <c r="L30" i="23"/>
  <c r="L58" i="23" l="1"/>
  <c r="L31" i="23"/>
  <c r="L59" i="23" l="1"/>
  <c r="L32" i="23"/>
  <c r="L60" i="23" l="1"/>
  <c r="L33" i="23"/>
  <c r="L61" i="23" l="1"/>
  <c r="L34" i="23"/>
  <c r="I42" i="23" l="1"/>
  <c r="L62" i="23"/>
</calcChain>
</file>

<file path=xl/sharedStrings.xml><?xml version="1.0" encoding="utf-8"?>
<sst xmlns="http://schemas.openxmlformats.org/spreadsheetml/2006/main" count="210" uniqueCount="156">
  <si>
    <t>Sản lượng điện</t>
  </si>
  <si>
    <t>Stt</t>
  </si>
  <si>
    <t>Họ và tên</t>
  </si>
  <si>
    <t>Ngày sinh</t>
  </si>
  <si>
    <t>Tuổi</t>
  </si>
  <si>
    <t>Sản lượng 
tiêu thụ</t>
  </si>
  <si>
    <t>Tiền điện</t>
  </si>
  <si>
    <t xml:space="preserve">Nguyễn Vân </t>
  </si>
  <si>
    <t>Anh</t>
  </si>
  <si>
    <t xml:space="preserve">Ngô Thị </t>
  </si>
  <si>
    <t>Ánh</t>
  </si>
  <si>
    <t xml:space="preserve">Hoàng Văn </t>
  </si>
  <si>
    <t>Bắc</t>
  </si>
  <si>
    <t xml:space="preserve">Phạm Hồng </t>
  </si>
  <si>
    <t xml:space="preserve">Phạm Trọng </t>
  </si>
  <si>
    <t>Bằng</t>
  </si>
  <si>
    <t xml:space="preserve">Nguyễn Vĩnh </t>
  </si>
  <si>
    <t>Bình</t>
  </si>
  <si>
    <t xml:space="preserve">Thái Quốc </t>
  </si>
  <si>
    <t xml:space="preserve">Ngô Thanh </t>
  </si>
  <si>
    <t>Tổng toàn bộ sản lượng</t>
  </si>
  <si>
    <t>sản lượng</t>
  </si>
  <si>
    <t>&lt;100</t>
  </si>
  <si>
    <t>nghèo</t>
  </si>
  <si>
    <t>100-200</t>
  </si>
  <si>
    <t>bình thường</t>
  </si>
  <si>
    <t>giàu</t>
  </si>
  <si>
    <t>Tổng tiền điện</t>
  </si>
  <si>
    <t>&gt;200</t>
  </si>
  <si>
    <t>Hộ tiêu thụ lớn nhất</t>
  </si>
  <si>
    <t>Hộ tiêu thụ ít nhất</t>
  </si>
  <si>
    <t>Sản lượng tiêu thụ trung bình</t>
  </si>
  <si>
    <t>Số hộ nghèo</t>
  </si>
  <si>
    <t>Xếp hạng Ông Bằng trên xuống</t>
  </si>
  <si>
    <t>Xếp hạng  Ông Bằng dưới lên</t>
  </si>
  <si>
    <t>Số đầu kỳ</t>
  </si>
  <si>
    <t>Số cuối kỳ</t>
  </si>
  <si>
    <t>Tiền điện</t>
  </si>
  <si>
    <t>Sản lượng
Mức 0</t>
  </si>
  <si>
    <t>Sản lượng
Mức 1</t>
  </si>
  <si>
    <t>Sản lượng
Mức 2</t>
  </si>
  <si>
    <t>Sản lượng
Mức 3</t>
  </si>
  <si>
    <t>Sản lượng
Mức 4</t>
  </si>
  <si>
    <t>Sản lượng
Mức 5</t>
  </si>
  <si>
    <t>Sản lượng
Mức 6</t>
  </si>
  <si>
    <t xml:space="preserve">Nguyễn Thanh </t>
  </si>
  <si>
    <t>Tuấn</t>
  </si>
  <si>
    <t xml:space="preserve">Nguyễn Văn </t>
  </si>
  <si>
    <t xml:space="preserve">Nguyễn Anh </t>
  </si>
  <si>
    <t xml:space="preserve">Thân Ngọc </t>
  </si>
  <si>
    <t xml:space="preserve">Hoàng </t>
  </si>
  <si>
    <t>Tùng</t>
  </si>
  <si>
    <t xml:space="preserve">Lê Thanh </t>
  </si>
  <si>
    <t xml:space="preserve">Nguyễn Tiến </t>
  </si>
  <si>
    <t>Túy</t>
  </si>
  <si>
    <t xml:space="preserve">Vi Hồng </t>
  </si>
  <si>
    <t>Tuyến</t>
  </si>
  <si>
    <t>Biểu giá điện sinh hoạt</t>
  </si>
  <si>
    <t>Mức 0</t>
  </si>
  <si>
    <t>Mức 1</t>
  </si>
  <si>
    <t>Mức 2</t>
  </si>
  <si>
    <t>Mức 3</t>
  </si>
  <si>
    <t>Mức 4</t>
  </si>
  <si>
    <t>Mức 5</t>
  </si>
  <si>
    <t>Múc 6</t>
  </si>
  <si>
    <t>Số điện (kWh)</t>
  </si>
  <si>
    <t>0-50</t>
  </si>
  <si>
    <t>101-150</t>
  </si>
  <si>
    <t>151-200</t>
  </si>
  <si>
    <t>201-300</t>
  </si>
  <si>
    <t>301-400</t>
  </si>
  <si>
    <t>&gt;400</t>
  </si>
  <si>
    <t>Giá (đồng)</t>
  </si>
  <si>
    <t>Yêu cầu:</t>
  </si>
  <si>
    <t>Yêu cầu: Với bảng số liệu dưới đây, trình bày graph như hình bên trái</t>
  </si>
  <si>
    <t>Phân bố nhu cầu điện</t>
  </si>
  <si>
    <t>Sinh hoạt</t>
  </si>
  <si>
    <t>Công nghiệp</t>
  </si>
  <si>
    <t>Dịch vụ TM</t>
  </si>
  <si>
    <t>Nông nghiệp</t>
  </si>
  <si>
    <t>Hành chính sự nghiệp</t>
  </si>
  <si>
    <t>Phụ tải Sinh hoạt</t>
  </si>
  <si>
    <t>Chiếu sáng</t>
  </si>
  <si>
    <t>CN</t>
  </si>
  <si>
    <t>Nhập công thức tính cho các ô màu vàng</t>
  </si>
  <si>
    <t>Tæng vèn ®Çu t­:</t>
  </si>
  <si>
    <t>L·i suÊt :</t>
  </si>
  <si>
    <t>Gi¸ trÞ NPV :</t>
  </si>
  <si>
    <t>Gi¸ trÞ B/C :</t>
  </si>
  <si>
    <t>Thêi gian hoµn vèn:</t>
  </si>
  <si>
    <t>n¨m</t>
  </si>
  <si>
    <t>S</t>
  </si>
  <si>
    <t>Vón</t>
  </si>
  <si>
    <t>Doanh</t>
  </si>
  <si>
    <t>Chi</t>
  </si>
  <si>
    <t>Hệ số</t>
  </si>
  <si>
    <t>T</t>
  </si>
  <si>
    <t>ban</t>
  </si>
  <si>
    <t>thu</t>
  </si>
  <si>
    <t>phí</t>
  </si>
  <si>
    <t>qui</t>
  </si>
  <si>
    <t>NPV</t>
  </si>
  <si>
    <t>đầu</t>
  </si>
  <si>
    <t>phụ</t>
  </si>
  <si>
    <t>đổi</t>
  </si>
  <si>
    <t>DỰ ÁN Y</t>
  </si>
  <si>
    <t>DỰ ÁN X</t>
  </si>
  <si>
    <t>SO SÁNH HAI DỰ ÁN THEO CÁC CHỈ TIÊU TÀI CHÍNH</t>
  </si>
  <si>
    <t>Gi¸ trÞ FIRR :</t>
  </si>
  <si>
    <t>Dòng</t>
  </si>
  <si>
    <t>tiền</t>
  </si>
  <si>
    <t>tổng</t>
  </si>
  <si>
    <t>Hướng dẫn bảng tính:</t>
  </si>
  <si>
    <t>2) Dòng tiền tổng = Dòng tiền + Dòng tiền phụ</t>
  </si>
  <si>
    <t>3) Hệ số qui đổi (P/F,i%,n) tính về hiện tại:</t>
  </si>
  <si>
    <t>1) Dòng tiền = Doanh thu - Chi phí</t>
  </si>
  <si>
    <t>Kết luận:</t>
  </si>
  <si>
    <t>- Dự án có IRR lớn sẽ thể hiện khả năng sinh lời lớn;</t>
  </si>
  <si>
    <t>- IRR thể hiện với mức lãi suất đó để qui đổi dòng tiền thì, giá trị hiện tại thực thu = giá trị hiện tại thực chi;</t>
  </si>
  <si>
    <t>- IRR cho biết mức lãi suất tối đa mà dự án có thể chấp nhận được, vượt quá nó thì kém hiệu quả sử dụng vốn.</t>
  </si>
  <si>
    <t>- Nếu IRR &gt; tỉ lệ chiết khấu thì dự án khả thi</t>
  </si>
  <si>
    <t>Hướng dẫn:</t>
  </si>
  <si>
    <t>1. Để tính tuổi có thể dùng hàm YEAR, tính chênh lệch năm hiện tại và năm sinh</t>
  </si>
  <si>
    <t>2. Xếp hạng dùng hàm RANK</t>
  </si>
  <si>
    <t>3. Tiền điện = Sản lượng tiêu thụ * Giá điện trung bình</t>
  </si>
  <si>
    <t>4. Phân loại sử dụng hàm IF</t>
  </si>
  <si>
    <t>Phân loại</t>
  </si>
  <si>
    <t>phân loại</t>
  </si>
  <si>
    <t>5. Các hàm khác: COUNTIF, SUMIF, SUM, MAX, MIN, AVERAGE</t>
  </si>
  <si>
    <t>1. Sản lượng tiêu thụ = Số đầu kỳ - Số cuối kỳ</t>
  </si>
  <si>
    <t>2. Tiền diện = Tổng (sản lượng các mức*Giá các mức)</t>
  </si>
  <si>
    <t>3. Các hàm sử dụng: IF, SUMPRODUCT</t>
  </si>
  <si>
    <t>4. Các tính năng sử dụng: Định dạng số liệu, AUTOFILL</t>
  </si>
  <si>
    <t>Tính các ô màu vàng</t>
  </si>
  <si>
    <r>
      <t>6) Màu</t>
    </r>
    <r>
      <rPr>
        <sz val="8"/>
        <color rgb="FF0070C0"/>
        <rFont val="Times New Roman"/>
        <family val="1"/>
      </rPr>
      <t xml:space="preserve"> xanh </t>
    </r>
    <r>
      <rPr>
        <sz val="8"/>
        <rFont val="Times New Roman"/>
        <family val="1"/>
      </rPr>
      <t>là các ô cần nhập</t>
    </r>
  </si>
  <si>
    <r>
      <t xml:space="preserve">7) Màu </t>
    </r>
    <r>
      <rPr>
        <sz val="8"/>
        <color rgb="FFFFFF00"/>
        <rFont val="Times New Roman"/>
        <family val="1"/>
      </rPr>
      <t xml:space="preserve">vàng </t>
    </r>
    <r>
      <rPr>
        <sz val="8"/>
        <rFont val="Times New Roman"/>
        <family val="1"/>
      </rPr>
      <t>là các ô cần tính</t>
    </r>
  </si>
  <si>
    <t>4) FIRR tính cho dòng tiền tổng dùng hàm IRR</t>
  </si>
  <si>
    <t>5) Tính NPV (tính theo công thức bên phải)</t>
  </si>
  <si>
    <t>USD</t>
  </si>
  <si>
    <t>NPVy &gt;NPVx</t>
  </si>
  <si>
    <t>B/Cy &gt; B/Cx</t>
  </si>
  <si>
    <t>IRRy &gt; IRRx</t>
  </si>
  <si>
    <t>Dự án Y tốt hơn,--&gt; lựa chọn</t>
  </si>
  <si>
    <t xml:space="preserve">Xếp hạng sản lượng tiêu thụ trên xuống </t>
  </si>
  <si>
    <t>Sản lượng 
tiêu thụ (kWh)</t>
  </si>
  <si>
    <t>Giá điện 
trung bình (đồng/kWh)</t>
  </si>
  <si>
    <t>51-100</t>
  </si>
  <si>
    <t xml:space="preserve">Thời gian hoàn vốn: </t>
  </si>
  <si>
    <t>năm</t>
  </si>
  <si>
    <t>Tổng vốn đầu tư</t>
  </si>
  <si>
    <t>Lãi suất:</t>
  </si>
  <si>
    <t>Giá trị NPV</t>
  </si>
  <si>
    <t>Giá trị B/C :</t>
  </si>
  <si>
    <t>Giá trị FIRR :</t>
  </si>
  <si>
    <t>Yêu cầu: Với bảng số liệu bên trái, vẽ graph như hình dưới</t>
  </si>
  <si>
    <t>Tổng các hộ có sản lượng dưới 100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</si>
</sst>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"/>
    <numFmt numFmtId="165" formatCode="_-* #,##0.00_$_-;\-* #,##0.00_$_-;_-* &quot;-&quot;??_$_-;_-@_-"/>
    <numFmt numFmtId="166" formatCode="_-* #,##0.0_$_-;\-* #,##0.0_$_-;_-* &quot;-&quot;??_$_-;_-@_-"/>
    <numFmt numFmtId="167" formatCode="_-* #,##0.00\ [$đồng-100C]_-;\-* #,##0.00\ [$fr.-100C]_-;_-* &quot;-&quot;??\ [$fr.-100C]_-;_-@_-"/>
    <numFmt numFmtId="168" formatCode="_-* #,##0_$_-;\-* #,##0_$_-;_-* &quot;-&quot;??_$_-;_-@_-"/>
    <numFmt numFmtId="169" formatCode="0.000%"/>
    <numFmt numFmtId="170" formatCode="#,##0.000"/>
    <numFmt numFmtId="171" formatCode="0.0%"/>
    <numFmt numFmtId="172" formatCode="#,##0.0000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b/>
      <sz val="12"/>
      <color theme="1"/>
      <name val="Calibri"/>
      <family val="2"/>
      <scheme val="minor"/>
    </font>
    <font>
      <sz val="8"/>
      <name val=".VnTime"/>
      <family val="2"/>
    </font>
    <font>
      <sz val="11"/>
      <color theme="1"/>
      <name val="Times New Roman"/>
      <family val="1"/>
    </font>
    <font>
      <b/>
      <sz val="8"/>
      <name val=".VnTime"/>
      <family val="2"/>
    </font>
    <font>
      <sz val="12"/>
      <name val=".VnTime"/>
      <family val="2"/>
    </font>
    <font>
      <b/>
      <sz val="32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sz val="8"/>
      <color rgb="FFFFFF00"/>
      <name val="Times New Roman"/>
      <family val="1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/>
    <xf numFmtId="1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14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165" fontId="5" fillId="0" borderId="6" xfId="0" applyNumberFormat="1" applyFont="1" applyBorder="1"/>
    <xf numFmtId="164" fontId="0" fillId="2" borderId="7" xfId="0" applyNumberFormat="1" applyFill="1" applyBorder="1" applyAlignment="1">
      <alignment horizontal="center"/>
    </xf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164" fontId="9" fillId="2" borderId="7" xfId="1" applyNumberFormat="1" applyFont="1" applyFill="1" applyBorder="1" applyAlignment="1">
      <alignment horizontal="center"/>
    </xf>
    <xf numFmtId="0" fontId="0" fillId="0" borderId="6" xfId="0" applyBorder="1"/>
    <xf numFmtId="0" fontId="7" fillId="0" borderId="0" xfId="0" applyFont="1"/>
    <xf numFmtId="0" fontId="0" fillId="0" borderId="3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166" fontId="9" fillId="2" borderId="6" xfId="1" applyNumberFormat="1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7" fontId="0" fillId="0" borderId="0" xfId="0" applyNumberFormat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0" fillId="3" borderId="3" xfId="0" applyFill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/>
    <xf numFmtId="168" fontId="0" fillId="0" borderId="0" xfId="1" applyNumberFormat="1" applyFont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2" xfId="0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43" fontId="6" fillId="2" borderId="6" xfId="1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43" fontId="12" fillId="0" borderId="0" xfId="1" applyFont="1" applyFill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169" fontId="14" fillId="0" borderId="0" xfId="2" applyNumberFormat="1" applyFont="1" applyFill="1" applyAlignment="1">
      <alignment vertical="center"/>
    </xf>
    <xf numFmtId="10" fontId="12" fillId="0" borderId="0" xfId="2" applyNumberFormat="1" applyFont="1" applyFill="1" applyAlignment="1">
      <alignment vertical="center"/>
    </xf>
    <xf numFmtId="171" fontId="12" fillId="0" borderId="0" xfId="2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0" fontId="10" fillId="0" borderId="13" xfId="0" applyFont="1" applyBorder="1" applyAlignment="1">
      <alignment horizontal="centerContinuous"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horizontal="centerContinuous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3" fontId="10" fillId="0" borderId="20" xfId="1" applyNumberFormat="1" applyFont="1" applyFill="1" applyBorder="1" applyAlignment="1">
      <alignment horizontal="center" vertical="center"/>
    </xf>
    <xf numFmtId="164" fontId="10" fillId="0" borderId="19" xfId="1" applyNumberFormat="1" applyFont="1" applyFill="1" applyBorder="1" applyAlignment="1">
      <alignment vertical="center"/>
    </xf>
    <xf numFmtId="172" fontId="10" fillId="0" borderId="19" xfId="1" applyNumberFormat="1" applyFont="1" applyFill="1" applyBorder="1" applyAlignment="1">
      <alignment vertical="center"/>
    </xf>
    <xf numFmtId="3" fontId="10" fillId="0" borderId="19" xfId="1" applyNumberFormat="1" applyFont="1" applyFill="1" applyBorder="1" applyAlignment="1">
      <alignment vertical="center"/>
    </xf>
    <xf numFmtId="3" fontId="13" fillId="0" borderId="0" xfId="0" applyNumberFormat="1" applyFont="1"/>
    <xf numFmtId="0" fontId="17" fillId="0" borderId="0" xfId="0" applyFont="1" applyAlignment="1">
      <alignment vertical="center"/>
    </xf>
    <xf numFmtId="164" fontId="10" fillId="2" borderId="2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0" xfId="1" applyFont="1" applyFill="1" applyAlignment="1">
      <alignment vertical="center"/>
    </xf>
    <xf numFmtId="9" fontId="10" fillId="0" borderId="0" xfId="2" applyFont="1" applyFill="1" applyAlignment="1">
      <alignment vertical="center"/>
    </xf>
    <xf numFmtId="0" fontId="18" fillId="0" borderId="0" xfId="0" applyFont="1" applyAlignment="1">
      <alignment vertical="center"/>
    </xf>
    <xf numFmtId="9" fontId="13" fillId="2" borderId="0" xfId="0" applyNumberFormat="1" applyFont="1" applyFill="1"/>
    <xf numFmtId="164" fontId="10" fillId="2" borderId="20" xfId="1" applyNumberFormat="1" applyFont="1" applyFill="1" applyBorder="1" applyAlignment="1">
      <alignment vertical="center"/>
    </xf>
    <xf numFmtId="0" fontId="13" fillId="0" borderId="0" xfId="0" quotePrefix="1" applyFont="1"/>
    <xf numFmtId="1" fontId="5" fillId="2" borderId="6" xfId="0" applyNumberFormat="1" applyFont="1" applyFill="1" applyBorder="1" applyAlignment="1">
      <alignment horizontal="center"/>
    </xf>
    <xf numFmtId="0" fontId="0" fillId="2" borderId="6" xfId="0" quotePrefix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65" fontId="3" fillId="3" borderId="6" xfId="0" applyNumberFormat="1" applyFont="1" applyFill="1" applyBorder="1"/>
    <xf numFmtId="14" fontId="3" fillId="3" borderId="6" xfId="0" applyNumberFormat="1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/>
    <xf numFmtId="0" fontId="9" fillId="6" borderId="0" xfId="0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left"/>
    </xf>
    <xf numFmtId="164" fontId="9" fillId="0" borderId="0" xfId="1" quotePrefix="1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6" borderId="0" xfId="0" applyFont="1" applyFill="1"/>
    <xf numFmtId="14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left"/>
    </xf>
    <xf numFmtId="0" fontId="10" fillId="6" borderId="26" xfId="0" applyFont="1" applyFill="1" applyBorder="1" applyAlignment="1">
      <alignment vertical="center"/>
    </xf>
    <xf numFmtId="0" fontId="10" fillId="6" borderId="21" xfId="0" applyFont="1" applyFill="1" applyBorder="1" applyAlignment="1">
      <alignment vertical="center"/>
    </xf>
    <xf numFmtId="0" fontId="10" fillId="6" borderId="27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28" xfId="0" applyFont="1" applyFill="1" applyBorder="1" applyAlignment="1">
      <alignment vertical="center"/>
    </xf>
    <xf numFmtId="0" fontId="18" fillId="6" borderId="25" xfId="0" applyFont="1" applyFill="1" applyBorder="1" applyAlignment="1">
      <alignment vertical="center"/>
    </xf>
    <xf numFmtId="0" fontId="10" fillId="7" borderId="27" xfId="0" applyFont="1" applyFill="1" applyBorder="1" applyAlignment="1">
      <alignment vertical="center"/>
    </xf>
    <xf numFmtId="0" fontId="10" fillId="7" borderId="0" xfId="0" applyFont="1" applyFill="1" applyAlignment="1">
      <alignment vertical="center"/>
    </xf>
    <xf numFmtId="0" fontId="10" fillId="7" borderId="28" xfId="0" applyFont="1" applyFill="1" applyBorder="1" applyAlignment="1">
      <alignment vertical="center"/>
    </xf>
    <xf numFmtId="0" fontId="10" fillId="7" borderId="22" xfId="0" applyFont="1" applyFill="1" applyBorder="1" applyAlignment="1">
      <alignment vertical="center"/>
    </xf>
    <xf numFmtId="0" fontId="10" fillId="7" borderId="23" xfId="0" applyFont="1" applyFill="1" applyBorder="1" applyAlignment="1">
      <alignment vertical="center"/>
    </xf>
    <xf numFmtId="0" fontId="10" fillId="7" borderId="24" xfId="0" applyFont="1" applyFill="1" applyBorder="1" applyAlignment="1">
      <alignment vertical="center"/>
    </xf>
    <xf numFmtId="3" fontId="14" fillId="5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70" fontId="14" fillId="2" borderId="0" xfId="0" applyNumberFormat="1" applyFont="1" applyFill="1" applyAlignment="1">
      <alignment vertical="center"/>
    </xf>
    <xf numFmtId="164" fontId="0" fillId="2" borderId="7" xfId="0" quotePrefix="1" applyNumberFormat="1" applyFill="1" applyBorder="1" applyAlignment="1">
      <alignment horizontal="center"/>
    </xf>
    <xf numFmtId="164" fontId="0" fillId="2" borderId="10" xfId="0" quotePrefix="1" applyNumberFormat="1" applyFill="1" applyBorder="1" applyAlignment="1">
      <alignment horizontal="center"/>
    </xf>
    <xf numFmtId="172" fontId="10" fillId="2" borderId="20" xfId="1" applyNumberFormat="1" applyFont="1" applyFill="1" applyBorder="1" applyAlignment="1">
      <alignment horizontal="center" vertical="center"/>
    </xf>
    <xf numFmtId="164" fontId="13" fillId="0" borderId="0" xfId="0" applyNumberFormat="1" applyFont="1"/>
    <xf numFmtId="0" fontId="13" fillId="0" borderId="0" xfId="0" applyFont="1" applyAlignment="1">
      <alignment horizontal="center"/>
    </xf>
    <xf numFmtId="164" fontId="10" fillId="5" borderId="20" xfId="1" applyNumberFormat="1" applyFont="1" applyFill="1" applyBorder="1" applyAlignment="1">
      <alignment vertical="center"/>
    </xf>
    <xf numFmtId="4" fontId="10" fillId="5" borderId="20" xfId="1" applyNumberFormat="1" applyFont="1" applyFill="1" applyBorder="1" applyAlignment="1">
      <alignment vertical="center"/>
    </xf>
    <xf numFmtId="164" fontId="10" fillId="5" borderId="17" xfId="1" applyNumberFormat="1" applyFont="1" applyFill="1" applyBorder="1" applyAlignment="1">
      <alignment vertical="center"/>
    </xf>
    <xf numFmtId="164" fontId="10" fillId="5" borderId="20" xfId="1" applyNumberFormat="1" applyFont="1" applyFill="1" applyBorder="1" applyAlignment="1">
      <alignment horizontal="center" vertical="center"/>
    </xf>
    <xf numFmtId="3" fontId="14" fillId="5" borderId="34" xfId="0" applyNumberFormat="1" applyFont="1" applyFill="1" applyBorder="1" applyAlignment="1">
      <alignment vertical="center"/>
    </xf>
    <xf numFmtId="10" fontId="12" fillId="5" borderId="35" xfId="2" applyNumberFormat="1" applyFont="1" applyFill="1" applyBorder="1" applyAlignment="1">
      <alignment vertical="center"/>
    </xf>
    <xf numFmtId="164" fontId="14" fillId="2" borderId="6" xfId="0" applyNumberFormat="1" applyFont="1" applyFill="1" applyBorder="1" applyAlignment="1">
      <alignment vertical="center"/>
    </xf>
    <xf numFmtId="170" fontId="14" fillId="2" borderId="6" xfId="0" applyNumberFormat="1" applyFont="1" applyFill="1" applyBorder="1" applyAlignment="1">
      <alignment vertical="center"/>
    </xf>
    <xf numFmtId="9" fontId="13" fillId="2" borderId="6" xfId="0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0" fillId="0" borderId="2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3" fontId="14" fillId="2" borderId="6" xfId="0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366347</xdr:colOff>
      <xdr:row>1</xdr:row>
      <xdr:rowOff>91825</xdr:rowOff>
    </xdr:from>
    <xdr:to>
      <xdr:col>4</xdr:col>
      <xdr:colOff>254770</xdr:colOff>
      <xdr:row>14</xdr:row>
      <xdr:rowOff>63500</xdr:rowOff>
    </xdr:to>
    <xdr:pic>
      <xdr:nvPicPr>
        <xdr:cNvPr id="2" name="Picture 1" descr="New Picture (22).b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347" y="288675"/>
          <a:ext cx="3577773" cy="2556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615950</xdr:colOff>
      <xdr:row>1</xdr:row>
      <xdr:rowOff>57150</xdr:rowOff>
    </xdr:from>
    <xdr:to>
      <xdr:col>11</xdr:col>
      <xdr:colOff>475886</xdr:colOff>
      <xdr:row>15</xdr:row>
      <xdr:rowOff>21702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450" y="260350"/>
          <a:ext cx="4571636" cy="27204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18825</xdr:colOff>
      <xdr:row>1</xdr:row>
      <xdr:rowOff>0</xdr:rowOff>
    </xdr:from>
    <xdr:to>
      <xdr:col>6</xdr:col>
      <xdr:colOff>629479</xdr:colOff>
      <xdr:row>7</xdr:row>
      <xdr:rowOff>8870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42" y="198783"/>
          <a:ext cx="4047937" cy="1201565"/>
        </a:xfrm>
        <a:prstGeom prst="rect">
          <a:avLst/>
        </a:prstGeom>
      </xdr:spPr>
    </xdr:pic>
    <xdr:clientData/>
  </xdr:twoCellAnchor>
  <xdr:twoCellAnchor editAs="oneCell">
    <xdr:from>
      <xdr:col>0</xdr:col>
      <xdr:colOff>149087</xdr:colOff>
      <xdr:row>103</xdr:row>
      <xdr:rowOff>0</xdr:rowOff>
    </xdr:from>
    <xdr:to>
      <xdr:col>10</xdr:col>
      <xdr:colOff>417856</xdr:colOff>
      <xdr:row>115</xdr:row>
      <xdr:rowOff>75905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087" y="14436587"/>
          <a:ext cx="6638095" cy="2361905"/>
        </a:xfrm>
        <a:prstGeom prst="rect">
          <a:avLst/>
        </a:prstGeom>
      </xdr:spPr>
    </xdr:pic>
    <xdr:clientData/>
  </xdr:twoCellAnchor>
  <xdr:twoCellAnchor>
    <xdr:from>
      <xdr:col>13</xdr:col>
      <xdr:colOff>21980</xdr:colOff>
      <xdr:row>11</xdr:row>
      <xdr:rowOff>205154</xdr:rowOff>
    </xdr:from>
    <xdr:to>
      <xdr:col>19</xdr:col>
      <xdr:colOff>0</xdr:colOff>
      <xdr:row>12</xdr:row>
      <xdr:rowOff>7327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7781192" y="2410558"/>
          <a:ext cx="4110404" cy="146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36634</xdr:colOff>
      <xdr:row>11</xdr:row>
      <xdr:rowOff>197827</xdr:rowOff>
    </xdr:from>
    <xdr:to>
      <xdr:col>13</xdr:col>
      <xdr:colOff>36634</xdr:colOff>
      <xdr:row>15</xdr:row>
      <xdr:rowOff>168519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7795846" y="2403231"/>
          <a:ext cx="0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329711</xdr:colOff>
      <xdr:row>10</xdr:row>
      <xdr:rowOff>14654</xdr:rowOff>
    </xdr:from>
    <xdr:to>
      <xdr:col>13</xdr:col>
      <xdr:colOff>329711</xdr:colOff>
      <xdr:row>11</xdr:row>
      <xdr:rowOff>197828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 flipV="1">
          <a:off x="8088923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674076</xdr:colOff>
      <xdr:row>10</xdr:row>
      <xdr:rowOff>14654</xdr:rowOff>
    </xdr:from>
    <xdr:to>
      <xdr:col>13</xdr:col>
      <xdr:colOff>674076</xdr:colOff>
      <xdr:row>11</xdr:row>
      <xdr:rowOff>197828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 flipV="1">
          <a:off x="8433288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329711</xdr:colOff>
      <xdr:row>10</xdr:row>
      <xdr:rowOff>14654</xdr:rowOff>
    </xdr:from>
    <xdr:to>
      <xdr:col>14</xdr:col>
      <xdr:colOff>329711</xdr:colOff>
      <xdr:row>11</xdr:row>
      <xdr:rowOff>197828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 flipV="1">
          <a:off x="8777653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674076</xdr:colOff>
      <xdr:row>10</xdr:row>
      <xdr:rowOff>14654</xdr:rowOff>
    </xdr:from>
    <xdr:to>
      <xdr:col>14</xdr:col>
      <xdr:colOff>674076</xdr:colOff>
      <xdr:row>11</xdr:row>
      <xdr:rowOff>197828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V="1">
          <a:off x="9122018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681403</xdr:colOff>
      <xdr:row>10</xdr:row>
      <xdr:rowOff>14654</xdr:rowOff>
    </xdr:from>
    <xdr:to>
      <xdr:col>18</xdr:col>
      <xdr:colOff>681403</xdr:colOff>
      <xdr:row>11</xdr:row>
      <xdr:rowOff>197828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V="1">
          <a:off x="11884268" y="2022231"/>
          <a:ext cx="0" cy="3810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644768</xdr:colOff>
      <xdr:row>11</xdr:row>
      <xdr:rowOff>51288</xdr:rowOff>
    </xdr:from>
    <xdr:to>
      <xdr:col>18</xdr:col>
      <xdr:colOff>644768</xdr:colOff>
      <xdr:row>11</xdr:row>
      <xdr:rowOff>197829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V="1">
          <a:off x="11847633" y="2256692"/>
          <a:ext cx="0" cy="14654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322384</xdr:colOff>
      <xdr:row>12</xdr:row>
      <xdr:rowOff>7327</xdr:rowOff>
    </xdr:from>
    <xdr:to>
      <xdr:col>13</xdr:col>
      <xdr:colOff>322384</xdr:colOff>
      <xdr:row>13</xdr:row>
      <xdr:rowOff>58615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8081596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674077</xdr:colOff>
      <xdr:row>12</xdr:row>
      <xdr:rowOff>7327</xdr:rowOff>
    </xdr:from>
    <xdr:to>
      <xdr:col>13</xdr:col>
      <xdr:colOff>674077</xdr:colOff>
      <xdr:row>13</xdr:row>
      <xdr:rowOff>58615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>
        <a:xfrm>
          <a:off x="8433289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322386</xdr:colOff>
      <xdr:row>12</xdr:row>
      <xdr:rowOff>7327</xdr:rowOff>
    </xdr:from>
    <xdr:to>
      <xdr:col>14</xdr:col>
      <xdr:colOff>322386</xdr:colOff>
      <xdr:row>13</xdr:row>
      <xdr:rowOff>58615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>
        <a:xfrm>
          <a:off x="8770328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666751</xdr:colOff>
      <xdr:row>12</xdr:row>
      <xdr:rowOff>7327</xdr:rowOff>
    </xdr:from>
    <xdr:to>
      <xdr:col>14</xdr:col>
      <xdr:colOff>666751</xdr:colOff>
      <xdr:row>13</xdr:row>
      <xdr:rowOff>58615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>
          <a:off x="9114693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7328</xdr:colOff>
      <xdr:row>12</xdr:row>
      <xdr:rowOff>7327</xdr:rowOff>
    </xdr:from>
    <xdr:to>
      <xdr:col>19</xdr:col>
      <xdr:colOff>7328</xdr:colOff>
      <xdr:row>13</xdr:row>
      <xdr:rowOff>58615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11898924" y="2425212"/>
          <a:ext cx="0" cy="249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609484</xdr:colOff>
      <xdr:row>1</xdr:row>
      <xdr:rowOff>5254</xdr:rowOff>
    </xdr:from>
    <xdr:ext cx="1808893" cy="3419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CC530E1-743E-48C9-800D-4811BF85D13F}"/>
                </a:ext>
              </a:extLst>
            </xdr:cNvPr>
            <xdr:cNvSpPr txBox="1"/>
          </xdr:nvSpPr>
          <xdr:spPr>
            <a:xfrm>
              <a:off x="9039656" y="202323"/>
              <a:ext cx="1808893" cy="341953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𝐹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%,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CC530E1-743E-48C9-800D-4811BF85D13F}"/>
                </a:ext>
              </a:extLst>
            </xdr:cNvPr>
            <xdr:cNvSpPr txBox="1"/>
          </xdr:nvSpPr>
          <xdr:spPr>
            <a:xfrm>
              <a:off x="9039656" y="202323"/>
              <a:ext cx="1808893" cy="341953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𝑃/𝐹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,𝑖%,𝑛)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𝛽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𝑛=</a:t>
              </a:r>
              <a:r>
                <a:rPr lang="en-US" sz="1100" b="0" i="0">
                  <a:latin typeface="Cambria Math" panose="02040503050406030204" pitchFamily="18" charset="0"/>
                </a:rPr>
                <a:t>1/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(1+𝑖)^</a:t>
              </a:r>
              <a:r>
                <a:rPr lang="en-US" sz="1100" b="0" i="0">
                  <a:latin typeface="Cambria Math" panose="02040503050406030204" pitchFamily="18" charset="0"/>
                </a:rPr>
                <a:t>𝑛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</xdr:row>
      <xdr:rowOff>0</xdr:rowOff>
    </xdr:from>
    <xdr:ext cx="984885" cy="4937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A0C6AFF-ECFF-4B91-BC26-B03EB33BF8B6}"/>
                </a:ext>
              </a:extLst>
            </xdr:cNvPr>
            <xdr:cNvSpPr txBox="1"/>
          </xdr:nvSpPr>
          <xdr:spPr>
            <a:xfrm>
              <a:off x="7742621" y="197069"/>
              <a:ext cx="984885" cy="493790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𝑁𝑃𝑉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15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𝛽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A0C6AFF-ECFF-4B91-BC26-B03EB33BF8B6}"/>
                </a:ext>
              </a:extLst>
            </xdr:cNvPr>
            <xdr:cNvSpPr txBox="1"/>
          </xdr:nvSpPr>
          <xdr:spPr>
            <a:xfrm>
              <a:off x="7742621" y="197069"/>
              <a:ext cx="984885" cy="493790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𝑁𝑃𝑉=∑_(𝑡=0)^15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𝐴_𝑡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𝛽^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6"/>
  <sheetViews>
    <sheetView tabSelected="1" zoomScale="79" zoomScaleNormal="100" workbookViewId="0">
      <selection activeCell="F20" sqref="F20"/>
    </sheetView>
  </sheetViews>
  <sheetFormatPr defaultColWidth="8.58203125" defaultRowHeight="15.5"/>
  <cols>
    <col min="1" max="1" width="5.5" style="2" customWidth="1"/>
    <col min="2" max="2" width="18.08203125" bestFit="1" customWidth="1"/>
    <col min="3" max="3" width="8.5" bestFit="1" customWidth="1"/>
    <col min="4" max="4" width="11.83203125" style="2" bestFit="1" customWidth="1"/>
    <col min="5" max="5" width="11.83203125" style="2" customWidth="1"/>
    <col min="6" max="6" width="12.08203125" style="2" bestFit="1" customWidth="1"/>
    <col min="7" max="7" width="10.33203125" style="2" bestFit="1" customWidth="1"/>
    <col min="8" max="9" width="11.58203125" customWidth="1"/>
    <col min="10" max="10" width="11.08203125" bestFit="1" customWidth="1"/>
    <col min="11" max="11" width="11.83203125" style="1" bestFit="1" customWidth="1"/>
    <col min="12" max="12" width="11.25" bestFit="1" customWidth="1"/>
    <col min="13" max="13" width="9.75" bestFit="1" customWidth="1"/>
    <col min="14" max="15" width="11.83203125" bestFit="1" customWidth="1"/>
    <col min="16" max="16" width="11.33203125" bestFit="1" customWidth="1"/>
    <col min="17" max="17" width="11.83203125" bestFit="1" customWidth="1"/>
    <col min="18" max="18" width="11.08203125" bestFit="1" customWidth="1"/>
  </cols>
  <sheetData>
    <row r="1" spans="1:15" s="2" customFormat="1" ht="19.5" thickBot="1">
      <c r="A1" s="149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"/>
    </row>
    <row r="2" spans="1:15" s="7" customFormat="1" ht="52.5" thickTop="1">
      <c r="A2" s="3" t="s">
        <v>1</v>
      </c>
      <c r="B2" s="150" t="s">
        <v>2</v>
      </c>
      <c r="C2" s="150"/>
      <c r="D2" s="94" t="s">
        <v>3</v>
      </c>
      <c r="E2" s="94" t="s">
        <v>4</v>
      </c>
      <c r="F2" s="4" t="s">
        <v>144</v>
      </c>
      <c r="G2" s="5" t="s">
        <v>145</v>
      </c>
      <c r="H2" s="5" t="s">
        <v>143</v>
      </c>
      <c r="I2" s="5" t="s">
        <v>6</v>
      </c>
      <c r="J2" s="6" t="s">
        <v>126</v>
      </c>
      <c r="L2" s="97" t="s">
        <v>21</v>
      </c>
      <c r="M2" s="98" t="s">
        <v>127</v>
      </c>
    </row>
    <row r="3" spans="1:15">
      <c r="A3" s="8">
        <v>1</v>
      </c>
      <c r="B3" s="9" t="s">
        <v>7</v>
      </c>
      <c r="C3" s="9" t="s">
        <v>8</v>
      </c>
      <c r="D3" s="10">
        <v>30633</v>
      </c>
      <c r="E3" s="92"/>
      <c r="F3" s="11">
        <v>39</v>
      </c>
      <c r="G3" s="12">
        <v>993</v>
      </c>
      <c r="H3" s="13"/>
      <c r="I3" s="63"/>
      <c r="J3" s="14"/>
      <c r="K3" s="15"/>
      <c r="L3" s="24" t="s">
        <v>22</v>
      </c>
      <c r="M3" s="10" t="s">
        <v>23</v>
      </c>
    </row>
    <row r="4" spans="1:15">
      <c r="A4" s="8">
        <v>2</v>
      </c>
      <c r="B4" s="9" t="s">
        <v>9</v>
      </c>
      <c r="C4" s="9" t="s">
        <v>10</v>
      </c>
      <c r="D4" s="10">
        <v>28432</v>
      </c>
      <c r="E4" s="92"/>
      <c r="F4" s="11">
        <v>36</v>
      </c>
      <c r="G4" s="12">
        <v>1400</v>
      </c>
      <c r="H4" s="13"/>
      <c r="I4" s="63"/>
      <c r="J4" s="14"/>
      <c r="K4" s="15"/>
      <c r="L4" s="26" t="s">
        <v>24</v>
      </c>
      <c r="M4" s="27" t="s">
        <v>25</v>
      </c>
    </row>
    <row r="5" spans="1:15">
      <c r="A5" s="8">
        <v>3</v>
      </c>
      <c r="B5" s="9" t="s">
        <v>11</v>
      </c>
      <c r="C5" s="9" t="s">
        <v>12</v>
      </c>
      <c r="D5" s="10">
        <v>29485</v>
      </c>
      <c r="E5" s="92"/>
      <c r="F5" s="11">
        <v>330</v>
      </c>
      <c r="G5" s="12">
        <v>2300</v>
      </c>
      <c r="H5" s="13"/>
      <c r="I5" s="63"/>
      <c r="J5" s="14"/>
      <c r="K5" s="15"/>
      <c r="L5" s="29" t="s">
        <v>28</v>
      </c>
      <c r="M5" s="27" t="s">
        <v>26</v>
      </c>
    </row>
    <row r="6" spans="1:15">
      <c r="A6" s="8">
        <v>4</v>
      </c>
      <c r="B6" s="9" t="s">
        <v>13</v>
      </c>
      <c r="C6" s="9" t="s">
        <v>12</v>
      </c>
      <c r="D6" s="10">
        <v>30641</v>
      </c>
      <c r="E6" s="92"/>
      <c r="F6" s="11">
        <v>300</v>
      </c>
      <c r="G6" s="12">
        <v>2100</v>
      </c>
      <c r="H6" s="13"/>
      <c r="I6" s="63"/>
      <c r="J6" s="14"/>
      <c r="K6" s="15"/>
    </row>
    <row r="7" spans="1:15">
      <c r="A7" s="8">
        <v>5</v>
      </c>
      <c r="B7" s="9" t="s">
        <v>14</v>
      </c>
      <c r="C7" s="9" t="s">
        <v>15</v>
      </c>
      <c r="D7" s="10">
        <v>30679</v>
      </c>
      <c r="E7" s="92"/>
      <c r="F7" s="11">
        <v>270</v>
      </c>
      <c r="G7" s="12">
        <v>2200</v>
      </c>
      <c r="H7" s="13"/>
      <c r="I7" s="63"/>
      <c r="J7" s="14"/>
      <c r="K7" s="15"/>
    </row>
    <row r="8" spans="1:15">
      <c r="A8" s="8">
        <v>6</v>
      </c>
      <c r="B8" s="9" t="s">
        <v>16</v>
      </c>
      <c r="C8" s="9" t="s">
        <v>17</v>
      </c>
      <c r="D8" s="10">
        <v>28149</v>
      </c>
      <c r="E8" s="92"/>
      <c r="F8" s="11">
        <v>240</v>
      </c>
      <c r="G8" s="12">
        <v>2230</v>
      </c>
      <c r="H8" s="13"/>
      <c r="I8" s="63"/>
      <c r="J8" s="14"/>
      <c r="K8" s="15"/>
    </row>
    <row r="9" spans="1:15">
      <c r="A9" s="8">
        <v>7</v>
      </c>
      <c r="B9" s="9" t="s">
        <v>18</v>
      </c>
      <c r="C9" s="9" t="s">
        <v>17</v>
      </c>
      <c r="D9" s="10">
        <v>28168</v>
      </c>
      <c r="E9" s="92"/>
      <c r="F9" s="11">
        <v>210</v>
      </c>
      <c r="G9" s="12">
        <v>2330</v>
      </c>
      <c r="H9" s="13"/>
      <c r="I9" s="63"/>
      <c r="J9" s="14"/>
      <c r="K9" s="15"/>
    </row>
    <row r="10" spans="1:15" ht="16" thickBot="1">
      <c r="A10" s="16">
        <v>8</v>
      </c>
      <c r="B10" s="17" t="s">
        <v>19</v>
      </c>
      <c r="C10" s="17" t="s">
        <v>17</v>
      </c>
      <c r="D10" s="18">
        <v>28932</v>
      </c>
      <c r="E10" s="92"/>
      <c r="F10" s="19">
        <v>180</v>
      </c>
      <c r="G10" s="20">
        <v>2400</v>
      </c>
      <c r="H10" s="13"/>
      <c r="I10" s="63"/>
      <c r="J10" s="14"/>
      <c r="K10" s="15"/>
    </row>
    <row r="11" spans="1:15" ht="16" thickTop="1">
      <c r="A11" s="21"/>
      <c r="B11" s="22"/>
      <c r="C11" s="22"/>
      <c r="D11" s="23"/>
      <c r="E11" s="23"/>
      <c r="F11" s="21"/>
    </row>
    <row r="12" spans="1:15" ht="16" thickBot="1">
      <c r="E12" s="110"/>
      <c r="G12" s="62" t="s">
        <v>73</v>
      </c>
      <c r="H12" s="61" t="s">
        <v>84</v>
      </c>
      <c r="I12" s="96"/>
      <c r="J12" s="96"/>
      <c r="M12" s="22"/>
      <c r="N12" s="23"/>
      <c r="O12" s="21"/>
    </row>
    <row r="13" spans="1:15" ht="16" thickTop="1">
      <c r="A13" s="151" t="s">
        <v>20</v>
      </c>
      <c r="B13" s="152"/>
      <c r="C13" s="153"/>
      <c r="D13" s="95"/>
      <c r="E13" s="111"/>
      <c r="I13" s="23"/>
      <c r="J13" s="23"/>
      <c r="M13" s="21"/>
    </row>
    <row r="14" spans="1:15">
      <c r="A14" s="104" t="s">
        <v>155</v>
      </c>
      <c r="B14" s="105"/>
      <c r="C14" s="106"/>
      <c r="D14" s="135"/>
      <c r="E14" s="112"/>
      <c r="F14" s="99" t="s">
        <v>121</v>
      </c>
      <c r="G14" s="100"/>
      <c r="H14" s="100"/>
      <c r="I14" s="100"/>
      <c r="J14" s="100"/>
      <c r="K14" s="100"/>
      <c r="M14" s="21"/>
    </row>
    <row r="15" spans="1:15">
      <c r="A15" s="104" t="s">
        <v>27</v>
      </c>
      <c r="B15" s="105"/>
      <c r="C15" s="106"/>
      <c r="D15" s="28"/>
      <c r="E15" s="113"/>
      <c r="F15" s="101" t="s">
        <v>122</v>
      </c>
      <c r="G15" s="102"/>
      <c r="H15" s="100"/>
      <c r="I15" s="100"/>
      <c r="J15" s="100"/>
      <c r="K15" s="100"/>
      <c r="M15" s="21"/>
    </row>
    <row r="16" spans="1:15">
      <c r="A16" s="104" t="s">
        <v>29</v>
      </c>
      <c r="B16" s="105"/>
      <c r="C16" s="106"/>
      <c r="D16" s="25"/>
      <c r="E16" s="114"/>
      <c r="F16" s="100" t="s">
        <v>123</v>
      </c>
      <c r="G16" s="103"/>
      <c r="H16" s="100"/>
      <c r="I16" s="100"/>
      <c r="J16" s="100"/>
      <c r="K16" s="100"/>
    </row>
    <row r="17" spans="1:11">
      <c r="A17" s="104" t="s">
        <v>30</v>
      </c>
      <c r="B17" s="105"/>
      <c r="C17" s="106"/>
      <c r="D17" s="25"/>
      <c r="E17" s="114"/>
      <c r="F17" s="100" t="s">
        <v>124</v>
      </c>
      <c r="G17" s="103"/>
      <c r="H17" s="100"/>
      <c r="I17" s="100"/>
      <c r="J17" s="100"/>
      <c r="K17" s="100"/>
    </row>
    <row r="18" spans="1:11">
      <c r="A18" s="104" t="s">
        <v>31</v>
      </c>
      <c r="B18" s="105"/>
      <c r="C18" s="106"/>
      <c r="D18" s="25"/>
      <c r="E18" s="114"/>
      <c r="F18" s="100" t="s">
        <v>125</v>
      </c>
      <c r="G18" s="103"/>
      <c r="H18" s="100"/>
      <c r="I18" s="100"/>
      <c r="J18" s="100"/>
      <c r="K18" s="100"/>
    </row>
    <row r="19" spans="1:11">
      <c r="A19" s="104" t="s">
        <v>32</v>
      </c>
      <c r="B19" s="105"/>
      <c r="C19" s="106"/>
      <c r="D19" s="25"/>
      <c r="E19" s="114"/>
      <c r="F19" s="100" t="s">
        <v>128</v>
      </c>
      <c r="G19" s="116"/>
      <c r="H19" s="116"/>
      <c r="I19" s="117"/>
      <c r="J19" s="118"/>
      <c r="K19" s="118"/>
    </row>
    <row r="20" spans="1:11">
      <c r="A20" s="104" t="s">
        <v>33</v>
      </c>
      <c r="B20" s="105"/>
      <c r="C20" s="106"/>
      <c r="D20" s="25"/>
      <c r="E20" s="114"/>
      <c r="I20" s="2"/>
      <c r="J20" s="1"/>
      <c r="K20"/>
    </row>
    <row r="21" spans="1:11" ht="16" thickBot="1">
      <c r="A21" s="107" t="s">
        <v>34</v>
      </c>
      <c r="B21" s="108"/>
      <c r="C21" s="109"/>
      <c r="D21" s="136"/>
      <c r="E21" s="114"/>
      <c r="G21"/>
      <c r="H21" s="2"/>
      <c r="I21" s="2"/>
      <c r="J21" s="1"/>
      <c r="K21"/>
    </row>
    <row r="22" spans="1:11" ht="16" thickTop="1">
      <c r="E22" s="115"/>
    </row>
    <row r="23" spans="1:11">
      <c r="A23" s="62"/>
    </row>
    <row r="24" spans="1:11">
      <c r="B24" s="62"/>
      <c r="C24" s="61"/>
    </row>
    <row r="25" spans="1:11">
      <c r="B25" s="62"/>
      <c r="C25" s="61"/>
    </row>
    <row r="26" spans="1:11">
      <c r="B26" s="62"/>
      <c r="C26" s="61"/>
    </row>
  </sheetData>
  <mergeCells count="3">
    <mergeCell ref="A1:J1"/>
    <mergeCell ref="B2:C2"/>
    <mergeCell ref="A13:C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1"/>
  <sheetViews>
    <sheetView zoomScaleNormal="100" workbookViewId="0">
      <selection activeCell="K14" sqref="K14"/>
    </sheetView>
  </sheetViews>
  <sheetFormatPr defaultColWidth="8.83203125" defaultRowHeight="15.5"/>
  <cols>
    <col min="1" max="1" width="7.5" bestFit="1" customWidth="1"/>
    <col min="2" max="2" width="14.83203125" bestFit="1" customWidth="1"/>
    <col min="3" max="3" width="6.5" bestFit="1" customWidth="1"/>
    <col min="4" max="4" width="9.83203125" customWidth="1"/>
    <col min="5" max="5" width="8.83203125" customWidth="1"/>
    <col min="6" max="6" width="8.5" bestFit="1" customWidth="1"/>
    <col min="7" max="7" width="15" customWidth="1"/>
    <col min="8" max="8" width="8.08203125" customWidth="1"/>
    <col min="9" max="9" width="9.08203125" customWidth="1"/>
    <col min="10" max="13" width="8.5" bestFit="1" customWidth="1"/>
    <col min="14" max="14" width="6.58203125" customWidth="1"/>
  </cols>
  <sheetData>
    <row r="1" spans="1:14" ht="47" thickTop="1">
      <c r="A1" s="3" t="s">
        <v>1</v>
      </c>
      <c r="B1" s="150" t="s">
        <v>2</v>
      </c>
      <c r="C1" s="150"/>
      <c r="D1" s="4" t="s">
        <v>35</v>
      </c>
      <c r="E1" s="4" t="s">
        <v>36</v>
      </c>
      <c r="F1" s="4" t="s">
        <v>5</v>
      </c>
      <c r="G1" s="5" t="s">
        <v>37</v>
      </c>
      <c r="H1" s="31" t="s">
        <v>38</v>
      </c>
      <c r="I1" s="31" t="s">
        <v>39</v>
      </c>
      <c r="J1" s="31" t="s">
        <v>40</v>
      </c>
      <c r="K1" s="31" t="s">
        <v>41</v>
      </c>
      <c r="L1" s="31" t="s">
        <v>42</v>
      </c>
      <c r="M1" s="31" t="s">
        <v>43</v>
      </c>
      <c r="N1" s="31" t="s">
        <v>44</v>
      </c>
    </row>
    <row r="2" spans="1:14">
      <c r="A2" s="32">
        <v>1</v>
      </c>
      <c r="B2" s="33" t="s">
        <v>45</v>
      </c>
      <c r="C2" s="33" t="s">
        <v>46</v>
      </c>
      <c r="D2" s="33">
        <v>1230</v>
      </c>
      <c r="E2" s="33">
        <v>1450</v>
      </c>
      <c r="F2" s="34"/>
      <c r="G2" s="35"/>
      <c r="H2" s="36"/>
      <c r="I2" s="93"/>
      <c r="J2" s="93"/>
      <c r="K2" s="93"/>
      <c r="L2" s="93"/>
      <c r="M2" s="93"/>
      <c r="N2" s="93"/>
    </row>
    <row r="3" spans="1:14">
      <c r="A3" s="32">
        <v>2</v>
      </c>
      <c r="B3" s="33" t="s">
        <v>47</v>
      </c>
      <c r="C3" s="33" t="s">
        <v>46</v>
      </c>
      <c r="D3" s="33">
        <v>3420</v>
      </c>
      <c r="E3" s="33">
        <v>3460</v>
      </c>
      <c r="F3" s="34"/>
      <c r="G3" s="35"/>
      <c r="H3" s="36"/>
      <c r="I3" s="93"/>
      <c r="J3" s="93"/>
      <c r="K3" s="93"/>
      <c r="L3" s="93"/>
      <c r="M3" s="93"/>
      <c r="N3" s="93"/>
    </row>
    <row r="4" spans="1:14">
      <c r="A4" s="32">
        <v>3</v>
      </c>
      <c r="B4" s="33" t="s">
        <v>48</v>
      </c>
      <c r="C4" s="33" t="s">
        <v>46</v>
      </c>
      <c r="D4" s="33">
        <v>3503</v>
      </c>
      <c r="E4" s="33">
        <v>3700</v>
      </c>
      <c r="F4" s="34"/>
      <c r="G4" s="35"/>
      <c r="H4" s="36"/>
      <c r="I4" s="93"/>
      <c r="J4" s="93"/>
      <c r="K4" s="93"/>
      <c r="L4" s="93"/>
      <c r="M4" s="93"/>
      <c r="N4" s="93"/>
    </row>
    <row r="5" spans="1:14">
      <c r="A5" s="32">
        <v>4</v>
      </c>
      <c r="B5" s="33" t="s">
        <v>49</v>
      </c>
      <c r="C5" s="33" t="s">
        <v>46</v>
      </c>
      <c r="D5" s="33">
        <v>7902</v>
      </c>
      <c r="E5" s="33">
        <v>8400</v>
      </c>
      <c r="F5" s="34"/>
      <c r="G5" s="35"/>
      <c r="H5" s="36"/>
      <c r="I5" s="93"/>
      <c r="J5" s="93"/>
      <c r="K5" s="93"/>
      <c r="L5" s="93"/>
      <c r="M5" s="93"/>
      <c r="N5" s="93"/>
    </row>
    <row r="6" spans="1:14">
      <c r="A6" s="32">
        <v>5</v>
      </c>
      <c r="B6" s="33" t="s">
        <v>50</v>
      </c>
      <c r="C6" s="33" t="s">
        <v>51</v>
      </c>
      <c r="D6" s="33">
        <v>2345</v>
      </c>
      <c r="E6" s="33">
        <v>2740</v>
      </c>
      <c r="F6" s="34"/>
      <c r="G6" s="35"/>
      <c r="H6" s="36"/>
      <c r="I6" s="93"/>
      <c r="J6" s="93"/>
      <c r="K6" s="93"/>
      <c r="L6" s="93"/>
      <c r="M6" s="93"/>
      <c r="N6" s="93"/>
    </row>
    <row r="7" spans="1:14">
      <c r="A7" s="32">
        <v>6</v>
      </c>
      <c r="B7" s="33" t="s">
        <v>52</v>
      </c>
      <c r="C7" s="33" t="s">
        <v>51</v>
      </c>
      <c r="D7" s="33">
        <v>2500</v>
      </c>
      <c r="E7" s="33">
        <v>3100</v>
      </c>
      <c r="F7" s="34"/>
      <c r="G7" s="35"/>
      <c r="H7" s="36"/>
      <c r="I7" s="93"/>
      <c r="J7" s="93"/>
      <c r="K7" s="93"/>
      <c r="L7" s="93"/>
      <c r="M7" s="93"/>
      <c r="N7" s="93"/>
    </row>
    <row r="8" spans="1:14">
      <c r="A8" s="32">
        <v>7</v>
      </c>
      <c r="B8" s="33" t="s">
        <v>53</v>
      </c>
      <c r="C8" s="33" t="s">
        <v>54</v>
      </c>
      <c r="D8" s="33">
        <v>2520</v>
      </c>
      <c r="E8" s="33">
        <v>3000</v>
      </c>
      <c r="F8" s="34"/>
      <c r="G8" s="35"/>
      <c r="H8" s="36"/>
      <c r="I8" s="93"/>
      <c r="J8" s="93"/>
      <c r="K8" s="93"/>
      <c r="L8" s="93"/>
      <c r="M8" s="93"/>
      <c r="N8" s="93"/>
    </row>
    <row r="9" spans="1:14" ht="16" thickBot="1">
      <c r="A9" s="37">
        <v>8</v>
      </c>
      <c r="B9" s="38" t="s">
        <v>55</v>
      </c>
      <c r="C9" s="38" t="s">
        <v>56</v>
      </c>
      <c r="D9" s="38">
        <v>2100</v>
      </c>
      <c r="E9" s="38">
        <v>2170</v>
      </c>
      <c r="F9" s="34"/>
      <c r="G9" s="35"/>
      <c r="H9" s="36"/>
      <c r="I9" s="93"/>
      <c r="J9" s="93"/>
      <c r="K9" s="93"/>
      <c r="L9" s="93"/>
      <c r="M9" s="93"/>
      <c r="N9" s="93"/>
    </row>
    <row r="10" spans="1:14" ht="16" thickTop="1">
      <c r="H10" s="39"/>
    </row>
    <row r="11" spans="1:14" ht="16" thickBot="1">
      <c r="A11" s="61" t="s">
        <v>73</v>
      </c>
      <c r="B11" s="61" t="s">
        <v>133</v>
      </c>
      <c r="G11" s="40" t="s">
        <v>57</v>
      </c>
      <c r="H11" s="40"/>
      <c r="I11" s="40"/>
      <c r="J11" s="40"/>
      <c r="K11" s="40"/>
      <c r="L11" s="40"/>
      <c r="M11" s="40"/>
      <c r="N11" s="41"/>
    </row>
    <row r="12" spans="1:14" ht="16" thickTop="1">
      <c r="G12" s="42"/>
      <c r="H12" s="43" t="s">
        <v>58</v>
      </c>
      <c r="I12" s="43" t="s">
        <v>59</v>
      </c>
      <c r="J12" s="43" t="s">
        <v>60</v>
      </c>
      <c r="K12" s="43" t="s">
        <v>61</v>
      </c>
      <c r="L12" s="43" t="s">
        <v>62</v>
      </c>
      <c r="M12" s="43" t="s">
        <v>63</v>
      </c>
      <c r="N12" s="43" t="s">
        <v>64</v>
      </c>
    </row>
    <row r="13" spans="1:14">
      <c r="A13" s="119" t="s">
        <v>121</v>
      </c>
      <c r="B13" s="100"/>
      <c r="C13" s="100"/>
      <c r="D13" s="100"/>
      <c r="E13" s="100"/>
      <c r="F13" s="100"/>
      <c r="G13" s="44" t="s">
        <v>65</v>
      </c>
      <c r="H13" s="45" t="s">
        <v>66</v>
      </c>
      <c r="I13" s="45" t="s">
        <v>146</v>
      </c>
      <c r="J13" s="45" t="s">
        <v>67</v>
      </c>
      <c r="K13" s="45" t="s">
        <v>68</v>
      </c>
      <c r="L13" s="45" t="s">
        <v>69</v>
      </c>
      <c r="M13" s="45" t="s">
        <v>70</v>
      </c>
      <c r="N13" s="46" t="s">
        <v>71</v>
      </c>
    </row>
    <row r="14" spans="1:14" s="47" customFormat="1">
      <c r="A14" s="101" t="s">
        <v>129</v>
      </c>
      <c r="B14" s="102"/>
      <c r="C14" s="100"/>
      <c r="D14" s="100"/>
      <c r="E14" s="100"/>
      <c r="F14" s="100"/>
      <c r="G14" s="44" t="s">
        <v>72</v>
      </c>
      <c r="H14" s="45">
        <v>993</v>
      </c>
      <c r="I14" s="45">
        <v>1418</v>
      </c>
      <c r="J14" s="45">
        <v>1622</v>
      </c>
      <c r="K14" s="45">
        <v>2044</v>
      </c>
      <c r="L14" s="45">
        <v>2210</v>
      </c>
      <c r="M14" s="45">
        <v>2361</v>
      </c>
      <c r="N14" s="45">
        <v>2420</v>
      </c>
    </row>
    <row r="15" spans="1:14">
      <c r="A15" s="100" t="s">
        <v>130</v>
      </c>
      <c r="B15" s="103"/>
      <c r="C15" s="100"/>
      <c r="D15" s="100"/>
      <c r="E15" s="100"/>
      <c r="F15" s="100"/>
      <c r="M15" s="48"/>
    </row>
    <row r="16" spans="1:14">
      <c r="A16" s="100" t="s">
        <v>131</v>
      </c>
      <c r="B16" s="103"/>
      <c r="C16" s="100"/>
      <c r="D16" s="100"/>
      <c r="E16" s="100"/>
      <c r="F16" s="100"/>
    </row>
    <row r="17" spans="1:6">
      <c r="A17" s="100" t="s">
        <v>132</v>
      </c>
      <c r="B17" s="103"/>
      <c r="C17" s="100"/>
      <c r="D17" s="100"/>
      <c r="E17" s="100"/>
      <c r="F17" s="100"/>
    </row>
    <row r="18" spans="1:6">
      <c r="A18" s="100" t="s">
        <v>128</v>
      </c>
      <c r="B18" s="116"/>
      <c r="C18" s="116"/>
      <c r="D18" s="117"/>
      <c r="E18" s="118"/>
      <c r="F18" s="118"/>
    </row>
    <row r="19" spans="1:6">
      <c r="A19" s="60"/>
    </row>
    <row r="20" spans="1:6">
      <c r="A20" s="60"/>
    </row>
    <row r="21" spans="1:6">
      <c r="A21" s="60"/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F2:G10"/>
  <sheetViews>
    <sheetView workbookViewId="0">
      <selection activeCell="F21" sqref="F21"/>
    </sheetView>
  </sheetViews>
  <sheetFormatPr defaultColWidth="8.83203125" defaultRowHeight="15.5"/>
  <cols>
    <col min="1" max="1" width="20.08203125" bestFit="1" customWidth="1"/>
    <col min="2" max="2" width="7.5" bestFit="1" customWidth="1"/>
    <col min="4" max="4" width="12" bestFit="1" customWidth="1"/>
    <col min="5" max="5" width="8.08203125" bestFit="1" customWidth="1"/>
    <col min="6" max="6" width="20.08203125" bestFit="1" customWidth="1"/>
  </cols>
  <sheetData>
    <row r="2" spans="6:7">
      <c r="F2" s="30" t="s">
        <v>74</v>
      </c>
    </row>
    <row r="3" spans="6:7" ht="16" thickBot="1"/>
    <row r="4" spans="6:7" ht="16" thickTop="1">
      <c r="F4" s="154" t="s">
        <v>75</v>
      </c>
      <c r="G4" s="155"/>
    </row>
    <row r="5" spans="6:7">
      <c r="F5" s="49" t="s">
        <v>76</v>
      </c>
      <c r="G5" s="50">
        <v>500000</v>
      </c>
    </row>
    <row r="6" spans="6:7">
      <c r="F6" s="49" t="s">
        <v>77</v>
      </c>
      <c r="G6" s="50">
        <v>300000</v>
      </c>
    </row>
    <row r="7" spans="6:7">
      <c r="F7" s="49" t="s">
        <v>78</v>
      </c>
      <c r="G7" s="50">
        <v>100000</v>
      </c>
    </row>
    <row r="8" spans="6:7">
      <c r="F8" s="49" t="s">
        <v>79</v>
      </c>
      <c r="G8" s="50">
        <v>200000</v>
      </c>
    </row>
    <row r="9" spans="6:7" ht="16" thickBot="1">
      <c r="F9" s="51" t="s">
        <v>80</v>
      </c>
      <c r="G9" s="52">
        <v>545454</v>
      </c>
    </row>
    <row r="10" spans="6:7" ht="16" thickTop="1"/>
  </sheetData>
  <mergeCells count="1">
    <mergeCell ref="F4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6"/>
  <sheetViews>
    <sheetView zoomScale="80" workbookViewId="0">
      <selection activeCell="M18" sqref="M18"/>
    </sheetView>
  </sheetViews>
  <sheetFormatPr defaultColWidth="8.83203125" defaultRowHeight="15.5"/>
  <cols>
    <col min="2" max="2" width="16" bestFit="1" customWidth="1"/>
    <col min="3" max="3" width="10.5" bestFit="1" customWidth="1"/>
  </cols>
  <sheetData>
    <row r="1" spans="1:6" ht="16" thickTop="1">
      <c r="A1" s="53"/>
      <c r="B1" s="54" t="s">
        <v>81</v>
      </c>
      <c r="C1" s="54" t="s">
        <v>82</v>
      </c>
      <c r="D1" s="55" t="s">
        <v>83</v>
      </c>
      <c r="F1" s="30" t="s">
        <v>154</v>
      </c>
    </row>
    <row r="2" spans="1:6">
      <c r="A2" s="56">
        <v>1</v>
      </c>
      <c r="B2" s="12">
        <v>20</v>
      </c>
      <c r="C2" s="57">
        <v>2</v>
      </c>
      <c r="D2" s="50">
        <v>5</v>
      </c>
    </row>
    <row r="3" spans="1:6">
      <c r="A3" s="56">
        <v>2</v>
      </c>
      <c r="B3" s="12">
        <v>20</v>
      </c>
      <c r="C3" s="57">
        <v>2</v>
      </c>
      <c r="D3" s="50">
        <v>5</v>
      </c>
    </row>
    <row r="4" spans="1:6">
      <c r="A4" s="56">
        <v>3</v>
      </c>
      <c r="B4" s="12">
        <v>21</v>
      </c>
      <c r="C4" s="57">
        <v>2</v>
      </c>
      <c r="D4" s="50">
        <v>5</v>
      </c>
    </row>
    <row r="5" spans="1:6">
      <c r="A5" s="56">
        <v>4</v>
      </c>
      <c r="B5" s="12">
        <v>21</v>
      </c>
      <c r="C5" s="57">
        <v>4</v>
      </c>
      <c r="D5" s="50">
        <v>5</v>
      </c>
    </row>
    <row r="6" spans="1:6">
      <c r="A6" s="56">
        <v>5</v>
      </c>
      <c r="B6" s="12">
        <v>25</v>
      </c>
      <c r="C6" s="57">
        <v>6</v>
      </c>
      <c r="D6" s="50">
        <v>5</v>
      </c>
    </row>
    <row r="7" spans="1:6">
      <c r="A7" s="56">
        <v>6</v>
      </c>
      <c r="B7" s="12">
        <v>29</v>
      </c>
      <c r="C7" s="57">
        <v>8</v>
      </c>
      <c r="D7" s="50">
        <v>9</v>
      </c>
    </row>
    <row r="8" spans="1:6">
      <c r="A8" s="56">
        <v>7</v>
      </c>
      <c r="B8" s="12">
        <v>30</v>
      </c>
      <c r="C8" s="57">
        <v>6</v>
      </c>
      <c r="D8" s="50">
        <v>20</v>
      </c>
    </row>
    <row r="9" spans="1:6">
      <c r="A9" s="56">
        <v>8</v>
      </c>
      <c r="B9" s="12">
        <v>35</v>
      </c>
      <c r="C9" s="57">
        <v>4</v>
      </c>
      <c r="D9" s="50">
        <v>40</v>
      </c>
    </row>
    <row r="10" spans="1:6">
      <c r="A10" s="56">
        <v>9</v>
      </c>
      <c r="B10" s="12">
        <v>40</v>
      </c>
      <c r="C10" s="57">
        <v>4</v>
      </c>
      <c r="D10" s="50">
        <v>60</v>
      </c>
    </row>
    <row r="11" spans="1:6">
      <c r="A11" s="56">
        <v>10</v>
      </c>
      <c r="B11" s="12">
        <v>45</v>
      </c>
      <c r="C11" s="57">
        <v>4</v>
      </c>
      <c r="D11" s="50">
        <v>60</v>
      </c>
    </row>
    <row r="12" spans="1:6">
      <c r="A12" s="56">
        <v>11</v>
      </c>
      <c r="B12" s="12">
        <v>45</v>
      </c>
      <c r="C12" s="57">
        <v>4</v>
      </c>
      <c r="D12" s="50">
        <v>60</v>
      </c>
    </row>
    <row r="13" spans="1:6">
      <c r="A13" s="56">
        <v>12</v>
      </c>
      <c r="B13" s="12">
        <v>40</v>
      </c>
      <c r="C13" s="57">
        <v>4</v>
      </c>
      <c r="D13" s="50">
        <v>40</v>
      </c>
    </row>
    <row r="14" spans="1:6">
      <c r="A14" s="56">
        <v>13</v>
      </c>
      <c r="B14" s="12">
        <v>35</v>
      </c>
      <c r="C14" s="57">
        <v>4</v>
      </c>
      <c r="D14" s="50">
        <v>40</v>
      </c>
    </row>
    <row r="15" spans="1:6">
      <c r="A15" s="56">
        <v>14</v>
      </c>
      <c r="B15" s="12">
        <v>40</v>
      </c>
      <c r="C15" s="57">
        <v>4</v>
      </c>
      <c r="D15" s="50">
        <v>60</v>
      </c>
    </row>
    <row r="16" spans="1:6">
      <c r="A16" s="56">
        <v>15</v>
      </c>
      <c r="B16" s="12">
        <v>40</v>
      </c>
      <c r="C16" s="57">
        <v>4</v>
      </c>
      <c r="D16" s="50">
        <v>60</v>
      </c>
    </row>
    <row r="17" spans="1:4">
      <c r="A17" s="56">
        <v>16</v>
      </c>
      <c r="B17" s="12">
        <v>35</v>
      </c>
      <c r="C17" s="57">
        <v>4</v>
      </c>
      <c r="D17" s="50">
        <v>60</v>
      </c>
    </row>
    <row r="18" spans="1:4">
      <c r="A18" s="56">
        <v>17</v>
      </c>
      <c r="B18" s="12">
        <v>45</v>
      </c>
      <c r="C18" s="57">
        <v>8</v>
      </c>
      <c r="D18" s="50">
        <v>50</v>
      </c>
    </row>
    <row r="19" spans="1:4">
      <c r="A19" s="56">
        <v>18</v>
      </c>
      <c r="B19" s="12">
        <v>50</v>
      </c>
      <c r="C19" s="57">
        <v>10</v>
      </c>
      <c r="D19" s="50">
        <v>40</v>
      </c>
    </row>
    <row r="20" spans="1:4">
      <c r="A20" s="56">
        <v>19</v>
      </c>
      <c r="B20" s="12">
        <v>50</v>
      </c>
      <c r="C20" s="57">
        <v>10</v>
      </c>
      <c r="D20" s="50">
        <v>40</v>
      </c>
    </row>
    <row r="21" spans="1:4">
      <c r="A21" s="56">
        <v>20</v>
      </c>
      <c r="B21" s="12">
        <v>50</v>
      </c>
      <c r="C21" s="57">
        <v>10</v>
      </c>
      <c r="D21" s="50">
        <v>30</v>
      </c>
    </row>
    <row r="22" spans="1:4">
      <c r="A22" s="56">
        <v>21</v>
      </c>
      <c r="B22" s="12">
        <v>40</v>
      </c>
      <c r="C22" s="57">
        <v>10</v>
      </c>
      <c r="D22" s="50">
        <v>10</v>
      </c>
    </row>
    <row r="23" spans="1:4">
      <c r="A23" s="56">
        <v>22</v>
      </c>
      <c r="B23" s="12">
        <v>30</v>
      </c>
      <c r="C23" s="57">
        <v>8</v>
      </c>
      <c r="D23" s="50">
        <v>5</v>
      </c>
    </row>
    <row r="24" spans="1:4">
      <c r="A24" s="56">
        <v>23</v>
      </c>
      <c r="B24" s="12">
        <v>25</v>
      </c>
      <c r="C24" s="57">
        <v>6</v>
      </c>
      <c r="D24" s="50">
        <v>5</v>
      </c>
    </row>
    <row r="25" spans="1:4" ht="16" thickBot="1">
      <c r="A25" s="58">
        <v>24</v>
      </c>
      <c r="B25" s="20">
        <v>23</v>
      </c>
      <c r="C25" s="59">
        <v>4</v>
      </c>
      <c r="D25" s="52">
        <v>5</v>
      </c>
    </row>
    <row r="26" spans="1:4" ht="16" thickTop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92"/>
  <sheetViews>
    <sheetView zoomScale="109" zoomScaleNormal="145" workbookViewId="0">
      <selection activeCell="M17" sqref="M17"/>
    </sheetView>
  </sheetViews>
  <sheetFormatPr defaultColWidth="9" defaultRowHeight="14"/>
  <cols>
    <col min="1" max="1" width="2.33203125" style="66" bestFit="1" customWidth="1"/>
    <col min="2" max="11" width="9" style="66"/>
    <col min="12" max="12" width="0" style="66" hidden="1" customWidth="1"/>
    <col min="13" max="16384" width="9" style="66"/>
  </cols>
  <sheetData>
    <row r="1" spans="1:21" customFormat="1" ht="15.5">
      <c r="A1" s="83" t="s">
        <v>107</v>
      </c>
      <c r="B1" s="64"/>
      <c r="C1" s="64"/>
      <c r="D1" s="64"/>
      <c r="E1" s="64"/>
      <c r="F1" s="64"/>
      <c r="G1" s="85"/>
      <c r="H1" s="85"/>
      <c r="I1" s="125" t="s">
        <v>112</v>
      </c>
      <c r="J1" s="120"/>
      <c r="K1" s="121"/>
      <c r="L1" s="85"/>
      <c r="M1" s="86"/>
      <c r="N1" s="66"/>
      <c r="O1" s="66"/>
      <c r="P1" s="66"/>
      <c r="Q1" s="66"/>
      <c r="R1" s="64"/>
      <c r="S1" s="64"/>
      <c r="T1" s="65"/>
      <c r="U1" s="64"/>
    </row>
    <row r="2" spans="1:21" customFormat="1" ht="15.5">
      <c r="A2" s="83"/>
      <c r="B2" s="64"/>
      <c r="C2" s="64"/>
      <c r="D2" s="64"/>
      <c r="E2" s="64"/>
      <c r="F2" s="64"/>
      <c r="G2" s="85"/>
      <c r="H2" s="85"/>
      <c r="I2" s="122" t="s">
        <v>115</v>
      </c>
      <c r="J2" s="123"/>
      <c r="K2" s="124"/>
      <c r="L2" s="85"/>
      <c r="M2" s="86"/>
      <c r="N2" s="66"/>
      <c r="O2" s="66"/>
      <c r="P2" s="66"/>
      <c r="Q2" s="66"/>
      <c r="R2" s="64"/>
      <c r="S2" s="64"/>
      <c r="T2" s="65"/>
      <c r="U2" s="64"/>
    </row>
    <row r="3" spans="1:21" customFormat="1" ht="15.5">
      <c r="A3" s="83"/>
      <c r="B3" s="64"/>
      <c r="C3" s="64"/>
      <c r="D3" s="64"/>
      <c r="E3" s="64"/>
      <c r="F3" s="64"/>
      <c r="G3" s="85"/>
      <c r="H3" s="85"/>
      <c r="I3" s="122" t="s">
        <v>113</v>
      </c>
      <c r="J3" s="123"/>
      <c r="K3" s="124"/>
      <c r="L3" s="85"/>
      <c r="M3" s="86"/>
      <c r="N3" s="66"/>
      <c r="O3" s="66"/>
      <c r="P3" s="66"/>
      <c r="Q3" s="66"/>
      <c r="R3" s="64"/>
      <c r="S3" s="64"/>
      <c r="T3" s="65"/>
      <c r="U3" s="64"/>
    </row>
    <row r="4" spans="1:21" customFormat="1" ht="15.5">
      <c r="A4" s="83"/>
      <c r="B4" s="64"/>
      <c r="C4" s="64"/>
      <c r="D4" s="64"/>
      <c r="E4" s="64"/>
      <c r="F4" s="64"/>
      <c r="G4" s="85"/>
      <c r="H4" s="85"/>
      <c r="I4" s="122" t="s">
        <v>114</v>
      </c>
      <c r="J4" s="123"/>
      <c r="K4" s="124"/>
      <c r="L4" s="85"/>
      <c r="M4" s="86"/>
      <c r="N4" s="66"/>
      <c r="O4" s="66"/>
      <c r="P4" s="66"/>
      <c r="Q4" s="66"/>
      <c r="R4" s="64"/>
      <c r="S4" s="64"/>
      <c r="T4" s="65"/>
      <c r="U4" s="64"/>
    </row>
    <row r="5" spans="1:21" customFormat="1" ht="15.5">
      <c r="A5" s="83"/>
      <c r="B5" s="64"/>
      <c r="C5" s="64"/>
      <c r="D5" s="64"/>
      <c r="E5" s="64"/>
      <c r="F5" s="64"/>
      <c r="G5" s="85"/>
      <c r="H5" s="85"/>
      <c r="I5" s="122" t="s">
        <v>136</v>
      </c>
      <c r="J5" s="123"/>
      <c r="K5" s="124"/>
      <c r="L5" s="85"/>
      <c r="M5" s="86"/>
      <c r="N5" s="66"/>
      <c r="O5" s="66"/>
      <c r="P5" s="66"/>
      <c r="Q5" s="66"/>
      <c r="R5" s="64"/>
      <c r="S5" s="64"/>
      <c r="T5" s="65"/>
      <c r="U5" s="64"/>
    </row>
    <row r="6" spans="1:21" customFormat="1" ht="15.5">
      <c r="A6" s="83"/>
      <c r="B6" s="64"/>
      <c r="C6" s="64"/>
      <c r="D6" s="64"/>
      <c r="E6" s="64"/>
      <c r="F6" s="64"/>
      <c r="G6" s="85"/>
      <c r="H6" s="85"/>
      <c r="I6" s="122" t="s">
        <v>137</v>
      </c>
      <c r="J6" s="123"/>
      <c r="K6" s="124"/>
      <c r="L6" s="85"/>
      <c r="M6" s="86"/>
      <c r="N6" s="66"/>
      <c r="O6" s="66"/>
      <c r="P6" s="66"/>
      <c r="Q6" s="66"/>
      <c r="R6" s="64"/>
      <c r="S6" s="64"/>
      <c r="T6" s="65"/>
      <c r="U6" s="64"/>
    </row>
    <row r="7" spans="1:21" customFormat="1" ht="15.5">
      <c r="A7" s="83"/>
      <c r="B7" s="64"/>
      <c r="C7" s="64"/>
      <c r="D7" s="64"/>
      <c r="E7" s="64"/>
      <c r="F7" s="64"/>
      <c r="G7" s="85"/>
      <c r="H7" s="85"/>
      <c r="I7" s="126" t="s">
        <v>134</v>
      </c>
      <c r="J7" s="127"/>
      <c r="K7" s="128"/>
      <c r="L7" s="85"/>
      <c r="M7" s="86"/>
      <c r="N7" s="66"/>
      <c r="O7" s="66"/>
      <c r="P7" s="66"/>
      <c r="Q7" s="66"/>
      <c r="R7" s="64"/>
      <c r="S7" s="64"/>
      <c r="T7" s="65"/>
      <c r="U7" s="64"/>
    </row>
    <row r="8" spans="1:21" customFormat="1" ht="16" thickBot="1">
      <c r="A8" s="83"/>
      <c r="B8" s="64"/>
      <c r="C8" s="64"/>
      <c r="D8" s="64"/>
      <c r="E8" s="64"/>
      <c r="F8" s="64"/>
      <c r="G8" s="85"/>
      <c r="H8" s="85"/>
      <c r="I8" s="129" t="s">
        <v>135</v>
      </c>
      <c r="J8" s="130"/>
      <c r="K8" s="131"/>
      <c r="L8" s="85"/>
      <c r="M8" s="86"/>
      <c r="N8" s="66"/>
      <c r="O8" s="66"/>
      <c r="P8" s="66"/>
      <c r="Q8" s="66"/>
      <c r="R8" s="64"/>
      <c r="S8" s="64"/>
      <c r="T8" s="65"/>
      <c r="U8" s="64"/>
    </row>
    <row r="9" spans="1:21" customFormat="1" ht="16" thickBot="1">
      <c r="A9" s="83"/>
      <c r="B9" s="64"/>
      <c r="C9" s="64"/>
      <c r="D9" s="64"/>
      <c r="E9" s="64"/>
      <c r="F9" s="64"/>
      <c r="G9" s="85"/>
      <c r="H9" s="85"/>
      <c r="I9" s="85"/>
      <c r="J9" s="85"/>
      <c r="K9" s="85"/>
      <c r="L9" s="85"/>
      <c r="M9" s="86"/>
      <c r="N9" s="66"/>
      <c r="O9" s="66"/>
      <c r="P9" s="66"/>
      <c r="Q9" s="66"/>
      <c r="R9" s="64"/>
      <c r="S9" s="64"/>
      <c r="T9" s="65"/>
      <c r="U9" s="64"/>
    </row>
    <row r="10" spans="1:21" customFormat="1" ht="16" thickBot="1">
      <c r="A10" s="64"/>
      <c r="B10" s="67" t="s">
        <v>149</v>
      </c>
      <c r="C10" s="67"/>
      <c r="D10" s="144"/>
      <c r="E10" s="67" t="s">
        <v>138</v>
      </c>
      <c r="F10" s="66"/>
      <c r="G10" s="156" t="s">
        <v>106</v>
      </c>
      <c r="H10" s="157"/>
      <c r="I10" s="157"/>
      <c r="J10" s="158"/>
      <c r="K10" s="85"/>
      <c r="L10" s="85"/>
      <c r="M10" s="87"/>
      <c r="N10" s="88"/>
      <c r="O10" s="88"/>
      <c r="P10" s="69"/>
      <c r="Q10" s="67"/>
      <c r="R10" s="64"/>
      <c r="S10" s="64"/>
      <c r="T10" s="65"/>
      <c r="U10" s="64"/>
    </row>
    <row r="11" spans="1:21" customFormat="1" ht="15.5">
      <c r="A11" s="64"/>
      <c r="B11" s="166" t="s">
        <v>150</v>
      </c>
      <c r="C11" s="64"/>
      <c r="D11" s="145">
        <v>0.08</v>
      </c>
      <c r="E11" s="66"/>
      <c r="F11" s="66"/>
      <c r="G11" s="159"/>
      <c r="H11" s="160"/>
      <c r="I11" s="160"/>
      <c r="J11" s="161"/>
      <c r="K11" s="85"/>
      <c r="L11" s="85"/>
      <c r="M11" s="87"/>
      <c r="N11" s="66"/>
      <c r="O11" s="66"/>
      <c r="P11" s="66"/>
      <c r="Q11" s="67"/>
      <c r="R11" s="64"/>
      <c r="S11" s="64"/>
      <c r="T11" s="65"/>
      <c r="U11" s="64"/>
    </row>
    <row r="12" spans="1:21" customFormat="1" ht="16" thickBot="1">
      <c r="A12" s="64"/>
      <c r="B12" s="165" t="s">
        <v>151</v>
      </c>
      <c r="C12" s="67"/>
      <c r="D12" s="146"/>
      <c r="E12" s="67" t="s">
        <v>138</v>
      </c>
      <c r="F12" s="66"/>
      <c r="G12" s="162"/>
      <c r="H12" s="163"/>
      <c r="I12" s="163"/>
      <c r="J12" s="164"/>
      <c r="K12" s="66"/>
      <c r="L12" s="66"/>
      <c r="M12" s="66"/>
      <c r="N12" s="66"/>
      <c r="O12" s="66"/>
      <c r="P12" s="66"/>
      <c r="Q12" s="66"/>
      <c r="R12" s="64"/>
      <c r="S12" s="64"/>
      <c r="T12" s="65"/>
      <c r="U12" s="64"/>
    </row>
    <row r="13" spans="1:21" customFormat="1" ht="15.5">
      <c r="A13" s="64"/>
      <c r="B13" s="165" t="s">
        <v>152</v>
      </c>
      <c r="C13" s="67"/>
      <c r="D13" s="147"/>
      <c r="E13" s="64"/>
      <c r="F13" s="64"/>
      <c r="G13" s="64"/>
      <c r="H13" s="64"/>
      <c r="I13" s="64"/>
      <c r="J13" s="64"/>
      <c r="K13" s="64"/>
      <c r="L13" s="64"/>
      <c r="M13" s="65"/>
      <c r="N13" s="64"/>
      <c r="O13" s="64"/>
      <c r="P13" s="71"/>
      <c r="Q13" s="64"/>
      <c r="R13" s="64"/>
      <c r="S13" s="64"/>
      <c r="T13" s="64"/>
      <c r="U13" s="64"/>
    </row>
    <row r="14" spans="1:21" ht="15.5">
      <c r="B14" s="165" t="s">
        <v>153</v>
      </c>
      <c r="D14" s="148"/>
      <c r="G14" s="165" t="s">
        <v>147</v>
      </c>
      <c r="H14" s="72"/>
      <c r="I14" s="167"/>
      <c r="J14" s="165" t="s">
        <v>148</v>
      </c>
    </row>
    <row r="16" spans="1:21">
      <c r="A16" s="73" t="s">
        <v>91</v>
      </c>
      <c r="B16" s="73" t="s">
        <v>92</v>
      </c>
      <c r="C16" s="73" t="s">
        <v>93</v>
      </c>
      <c r="D16" s="73" t="s">
        <v>94</v>
      </c>
      <c r="E16" s="73" t="s">
        <v>109</v>
      </c>
      <c r="F16" s="73" t="s">
        <v>93</v>
      </c>
      <c r="G16" s="73" t="s">
        <v>94</v>
      </c>
      <c r="H16" s="73" t="s">
        <v>109</v>
      </c>
      <c r="I16" s="73" t="s">
        <v>109</v>
      </c>
      <c r="J16" s="73" t="s">
        <v>95</v>
      </c>
      <c r="K16" s="74"/>
    </row>
    <row r="17" spans="1:14">
      <c r="A17" s="75" t="s">
        <v>96</v>
      </c>
      <c r="B17" s="75" t="s">
        <v>97</v>
      </c>
      <c r="C17" s="75" t="s">
        <v>98</v>
      </c>
      <c r="D17" s="75" t="s">
        <v>99</v>
      </c>
      <c r="E17" s="75" t="s">
        <v>110</v>
      </c>
      <c r="F17" s="75" t="s">
        <v>98</v>
      </c>
      <c r="G17" s="75" t="s">
        <v>99</v>
      </c>
      <c r="H17" s="75" t="s">
        <v>110</v>
      </c>
      <c r="I17" s="75" t="s">
        <v>110</v>
      </c>
      <c r="J17" s="75" t="s">
        <v>100</v>
      </c>
      <c r="K17" s="139" t="s">
        <v>101</v>
      </c>
      <c r="M17" s="76"/>
      <c r="N17" s="66">
        <v>55000</v>
      </c>
    </row>
    <row r="18" spans="1:14">
      <c r="A18" s="77" t="s">
        <v>96</v>
      </c>
      <c r="B18" s="77" t="s">
        <v>102</v>
      </c>
      <c r="C18" s="77"/>
      <c r="D18" s="77"/>
      <c r="E18" s="77"/>
      <c r="F18" s="77" t="s">
        <v>103</v>
      </c>
      <c r="G18" s="77" t="s">
        <v>103</v>
      </c>
      <c r="H18" s="77" t="s">
        <v>103</v>
      </c>
      <c r="I18" s="77" t="s">
        <v>111</v>
      </c>
      <c r="J18" s="77" t="s">
        <v>104</v>
      </c>
      <c r="K18" s="77"/>
      <c r="M18" s="138"/>
    </row>
    <row r="19" spans="1:14">
      <c r="A19" s="78">
        <v>0</v>
      </c>
      <c r="B19" s="140"/>
      <c r="C19" s="141"/>
      <c r="D19" s="140"/>
      <c r="E19" s="90"/>
      <c r="F19" s="143"/>
      <c r="G19" s="143"/>
      <c r="H19" s="90"/>
      <c r="I19" s="84"/>
      <c r="J19" s="137"/>
      <c r="K19" s="84"/>
      <c r="L19" s="66">
        <f t="shared" ref="L19:L35" si="0">IF(K19&lt;0,0,1)</f>
        <v>1</v>
      </c>
    </row>
    <row r="20" spans="1:14">
      <c r="A20" s="78">
        <v>1</v>
      </c>
      <c r="B20" s="140"/>
      <c r="C20" s="141"/>
      <c r="D20" s="142"/>
      <c r="E20" s="90"/>
      <c r="F20" s="143"/>
      <c r="G20" s="143"/>
      <c r="H20" s="90"/>
      <c r="I20" s="84"/>
      <c r="J20" s="137"/>
      <c r="K20" s="84"/>
      <c r="L20" s="66">
        <f t="shared" si="0"/>
        <v>1</v>
      </c>
    </row>
    <row r="21" spans="1:14">
      <c r="A21" s="78">
        <v>2</v>
      </c>
      <c r="B21" s="140"/>
      <c r="C21" s="141"/>
      <c r="D21" s="142"/>
      <c r="E21" s="90"/>
      <c r="F21" s="143"/>
      <c r="G21" s="143"/>
      <c r="H21" s="90"/>
      <c r="I21" s="84"/>
      <c r="J21" s="137"/>
      <c r="K21" s="84"/>
      <c r="L21" s="66">
        <f t="shared" si="0"/>
        <v>1</v>
      </c>
    </row>
    <row r="22" spans="1:14">
      <c r="A22" s="78">
        <v>3</v>
      </c>
      <c r="B22" s="140"/>
      <c r="C22" s="141"/>
      <c r="D22" s="142"/>
      <c r="E22" s="90"/>
      <c r="F22" s="143"/>
      <c r="G22" s="143"/>
      <c r="H22" s="90"/>
      <c r="I22" s="84"/>
      <c r="J22" s="137"/>
      <c r="K22" s="84"/>
      <c r="L22" s="66">
        <f t="shared" si="0"/>
        <v>1</v>
      </c>
    </row>
    <row r="23" spans="1:14">
      <c r="A23" s="78">
        <v>4</v>
      </c>
      <c r="B23" s="140"/>
      <c r="C23" s="141"/>
      <c r="D23" s="142"/>
      <c r="E23" s="90"/>
      <c r="F23" s="143"/>
      <c r="G23" s="143"/>
      <c r="H23" s="90"/>
      <c r="I23" s="84"/>
      <c r="J23" s="137"/>
      <c r="K23" s="84"/>
      <c r="L23" s="66">
        <f t="shared" si="0"/>
        <v>1</v>
      </c>
    </row>
    <row r="24" spans="1:14">
      <c r="A24" s="78">
        <v>5</v>
      </c>
      <c r="B24" s="140"/>
      <c r="C24" s="141"/>
      <c r="D24" s="142"/>
      <c r="E24" s="90"/>
      <c r="F24" s="143"/>
      <c r="G24" s="143"/>
      <c r="H24" s="90"/>
      <c r="I24" s="84"/>
      <c r="J24" s="137"/>
      <c r="K24" s="84"/>
      <c r="L24" s="66">
        <f t="shared" si="0"/>
        <v>1</v>
      </c>
    </row>
    <row r="25" spans="1:14">
      <c r="A25" s="78">
        <v>6</v>
      </c>
      <c r="B25" s="140"/>
      <c r="C25" s="141"/>
      <c r="D25" s="142"/>
      <c r="E25" s="90"/>
      <c r="F25" s="143"/>
      <c r="G25" s="143"/>
      <c r="H25" s="90"/>
      <c r="I25" s="84"/>
      <c r="J25" s="137"/>
      <c r="K25" s="84"/>
      <c r="L25" s="66">
        <f t="shared" si="0"/>
        <v>1</v>
      </c>
    </row>
    <row r="26" spans="1:14">
      <c r="A26" s="78">
        <v>7</v>
      </c>
      <c r="B26" s="140"/>
      <c r="C26" s="141"/>
      <c r="D26" s="142"/>
      <c r="E26" s="90"/>
      <c r="F26" s="143"/>
      <c r="G26" s="143"/>
      <c r="H26" s="90"/>
      <c r="I26" s="84"/>
      <c r="J26" s="137"/>
      <c r="K26" s="84"/>
      <c r="L26" s="66">
        <f t="shared" si="0"/>
        <v>1</v>
      </c>
    </row>
    <row r="27" spans="1:14">
      <c r="A27" s="78">
        <v>8</v>
      </c>
      <c r="B27" s="140"/>
      <c r="C27" s="141"/>
      <c r="D27" s="142"/>
      <c r="E27" s="90"/>
      <c r="F27" s="143"/>
      <c r="G27" s="143"/>
      <c r="H27" s="90"/>
      <c r="I27" s="84"/>
      <c r="J27" s="137"/>
      <c r="K27" s="84"/>
      <c r="L27" s="66">
        <f t="shared" si="0"/>
        <v>1</v>
      </c>
    </row>
    <row r="28" spans="1:14">
      <c r="A28" s="78">
        <v>9</v>
      </c>
      <c r="B28" s="140"/>
      <c r="C28" s="141"/>
      <c r="D28" s="142"/>
      <c r="E28" s="90"/>
      <c r="F28" s="143"/>
      <c r="G28" s="143"/>
      <c r="H28" s="90"/>
      <c r="I28" s="84"/>
      <c r="J28" s="137"/>
      <c r="K28" s="84"/>
      <c r="L28" s="66">
        <f t="shared" si="0"/>
        <v>1</v>
      </c>
    </row>
    <row r="29" spans="1:14">
      <c r="A29" s="78">
        <v>10</v>
      </c>
      <c r="B29" s="140"/>
      <c r="C29" s="141"/>
      <c r="D29" s="142"/>
      <c r="E29" s="90"/>
      <c r="F29" s="143"/>
      <c r="G29" s="143"/>
      <c r="H29" s="90"/>
      <c r="I29" s="84"/>
      <c r="J29" s="137"/>
      <c r="K29" s="84"/>
      <c r="L29" s="66">
        <f t="shared" si="0"/>
        <v>1</v>
      </c>
    </row>
    <row r="30" spans="1:14">
      <c r="A30" s="78">
        <v>11</v>
      </c>
      <c r="B30" s="140"/>
      <c r="C30" s="141"/>
      <c r="D30" s="142"/>
      <c r="E30" s="90"/>
      <c r="F30" s="143"/>
      <c r="G30" s="143"/>
      <c r="H30" s="90"/>
      <c r="I30" s="84"/>
      <c r="J30" s="137"/>
      <c r="K30" s="84"/>
      <c r="L30" s="66">
        <f t="shared" si="0"/>
        <v>1</v>
      </c>
    </row>
    <row r="31" spans="1:14">
      <c r="A31" s="78">
        <v>12</v>
      </c>
      <c r="B31" s="140"/>
      <c r="C31" s="141"/>
      <c r="D31" s="142"/>
      <c r="E31" s="90"/>
      <c r="F31" s="143"/>
      <c r="G31" s="143"/>
      <c r="H31" s="90"/>
      <c r="I31" s="84"/>
      <c r="J31" s="137"/>
      <c r="K31" s="84"/>
      <c r="L31" s="66">
        <f t="shared" si="0"/>
        <v>1</v>
      </c>
    </row>
    <row r="32" spans="1:14">
      <c r="A32" s="78">
        <v>13</v>
      </c>
      <c r="B32" s="140"/>
      <c r="C32" s="141"/>
      <c r="D32" s="142"/>
      <c r="E32" s="90"/>
      <c r="F32" s="143"/>
      <c r="G32" s="143"/>
      <c r="H32" s="90"/>
      <c r="I32" s="84"/>
      <c r="J32" s="137"/>
      <c r="K32" s="84"/>
      <c r="L32" s="66">
        <f t="shared" si="0"/>
        <v>1</v>
      </c>
    </row>
    <row r="33" spans="1:15">
      <c r="A33" s="78">
        <v>14</v>
      </c>
      <c r="B33" s="140"/>
      <c r="C33" s="141"/>
      <c r="D33" s="142"/>
      <c r="E33" s="90"/>
      <c r="F33" s="143"/>
      <c r="G33" s="143"/>
      <c r="H33" s="90"/>
      <c r="I33" s="84"/>
      <c r="J33" s="137"/>
      <c r="K33" s="84"/>
      <c r="L33" s="66">
        <f t="shared" si="0"/>
        <v>1</v>
      </c>
    </row>
    <row r="34" spans="1:15">
      <c r="A34" s="78">
        <v>15</v>
      </c>
      <c r="B34" s="140"/>
      <c r="C34" s="141"/>
      <c r="D34" s="142"/>
      <c r="E34" s="90"/>
      <c r="F34" s="143"/>
      <c r="G34" s="143"/>
      <c r="H34" s="90"/>
      <c r="I34" s="84"/>
      <c r="J34" s="137"/>
      <c r="K34" s="84"/>
      <c r="L34" s="66">
        <f t="shared" si="0"/>
        <v>1</v>
      </c>
    </row>
    <row r="35" spans="1:15">
      <c r="A35" s="79"/>
      <c r="B35" s="79"/>
      <c r="C35" s="79"/>
      <c r="D35" s="79"/>
      <c r="E35" s="79"/>
      <c r="F35" s="80"/>
      <c r="G35" s="80"/>
      <c r="H35" s="80"/>
      <c r="I35" s="80"/>
      <c r="J35" s="80"/>
      <c r="K35" s="81"/>
      <c r="L35" s="66">
        <f t="shared" si="0"/>
        <v>1</v>
      </c>
    </row>
    <row r="36" spans="1:15">
      <c r="K36" s="82"/>
    </row>
    <row r="37" spans="1:15" ht="14.5" thickBot="1"/>
    <row r="38" spans="1:15">
      <c r="A38" s="64"/>
      <c r="B38" s="67" t="s">
        <v>85</v>
      </c>
      <c r="C38" s="67"/>
      <c r="D38" s="132"/>
      <c r="E38" s="67" t="s">
        <v>138</v>
      </c>
      <c r="G38" s="156" t="s">
        <v>105</v>
      </c>
      <c r="H38" s="157"/>
      <c r="I38" s="157"/>
      <c r="J38" s="158"/>
      <c r="K38" s="64"/>
      <c r="L38" s="64"/>
      <c r="M38" s="66" t="s">
        <v>139</v>
      </c>
      <c r="O38" s="66" t="s">
        <v>142</v>
      </c>
    </row>
    <row r="39" spans="1:15">
      <c r="A39" s="64"/>
      <c r="B39" s="64" t="s">
        <v>86</v>
      </c>
      <c r="C39" s="64"/>
      <c r="D39" s="70">
        <v>0.08</v>
      </c>
      <c r="G39" s="159"/>
      <c r="H39" s="160"/>
      <c r="I39" s="160"/>
      <c r="J39" s="161"/>
      <c r="K39" s="64"/>
      <c r="L39" s="64"/>
      <c r="M39" s="66" t="s">
        <v>140</v>
      </c>
    </row>
    <row r="40" spans="1:15" ht="14.5" thickBot="1">
      <c r="A40" s="64"/>
      <c r="B40" s="67" t="s">
        <v>87</v>
      </c>
      <c r="C40" s="67"/>
      <c r="D40" s="133"/>
      <c r="E40" s="67" t="s">
        <v>138</v>
      </c>
      <c r="G40" s="162"/>
      <c r="H40" s="163"/>
      <c r="I40" s="163"/>
      <c r="J40" s="164"/>
      <c r="M40" s="66" t="s">
        <v>141</v>
      </c>
    </row>
    <row r="41" spans="1:15">
      <c r="A41" s="64"/>
      <c r="B41" s="67" t="s">
        <v>88</v>
      </c>
      <c r="C41" s="67"/>
      <c r="D41" s="134"/>
      <c r="E41" s="64"/>
      <c r="F41" s="64"/>
      <c r="G41" s="64"/>
      <c r="H41" s="64"/>
      <c r="I41" s="64"/>
      <c r="J41" s="64"/>
      <c r="K41" s="64"/>
      <c r="L41" s="64"/>
    </row>
    <row r="42" spans="1:15" ht="15.5">
      <c r="B42" s="67" t="s">
        <v>108</v>
      </c>
      <c r="D42" s="89"/>
      <c r="G42" s="67" t="s">
        <v>89</v>
      </c>
      <c r="H42" s="72"/>
      <c r="I42" s="68">
        <f>COUNTIF(L47:L62,0)</f>
        <v>0</v>
      </c>
      <c r="J42" s="67" t="s">
        <v>90</v>
      </c>
    </row>
    <row r="44" spans="1:15">
      <c r="A44" s="73" t="s">
        <v>91</v>
      </c>
      <c r="B44" s="73" t="s">
        <v>92</v>
      </c>
      <c r="C44" s="73" t="s">
        <v>93</v>
      </c>
      <c r="D44" s="73" t="s">
        <v>94</v>
      </c>
      <c r="E44" s="73" t="s">
        <v>109</v>
      </c>
      <c r="F44" s="73" t="s">
        <v>93</v>
      </c>
      <c r="G44" s="73" t="s">
        <v>94</v>
      </c>
      <c r="H44" s="73" t="s">
        <v>109</v>
      </c>
      <c r="I44" s="73" t="s">
        <v>109</v>
      </c>
      <c r="J44" s="73" t="s">
        <v>95</v>
      </c>
      <c r="K44" s="74"/>
    </row>
    <row r="45" spans="1:15">
      <c r="A45" s="75" t="s">
        <v>96</v>
      </c>
      <c r="B45" s="75" t="s">
        <v>97</v>
      </c>
      <c r="C45" s="75" t="s">
        <v>98</v>
      </c>
      <c r="D45" s="75" t="s">
        <v>99</v>
      </c>
      <c r="E45" s="75" t="s">
        <v>110</v>
      </c>
      <c r="F45" s="75" t="s">
        <v>98</v>
      </c>
      <c r="G45" s="75" t="s">
        <v>99</v>
      </c>
      <c r="H45" s="75" t="s">
        <v>110</v>
      </c>
      <c r="I45" s="75" t="s">
        <v>110</v>
      </c>
      <c r="J45" s="75" t="s">
        <v>100</v>
      </c>
      <c r="K45" s="76" t="s">
        <v>101</v>
      </c>
    </row>
    <row r="46" spans="1:15">
      <c r="A46" s="77" t="s">
        <v>96</v>
      </c>
      <c r="B46" s="77" t="s">
        <v>102</v>
      </c>
      <c r="C46" s="77"/>
      <c r="D46" s="77"/>
      <c r="E46" s="77"/>
      <c r="F46" s="77" t="s">
        <v>103</v>
      </c>
      <c r="G46" s="77" t="s">
        <v>103</v>
      </c>
      <c r="H46" s="77" t="s">
        <v>103</v>
      </c>
      <c r="I46" s="77" t="s">
        <v>111</v>
      </c>
      <c r="J46" s="77" t="s">
        <v>104</v>
      </c>
      <c r="K46" s="77"/>
    </row>
    <row r="47" spans="1:15">
      <c r="A47" s="78">
        <v>0</v>
      </c>
      <c r="B47" s="140"/>
      <c r="C47" s="141"/>
      <c r="D47" s="140"/>
      <c r="E47" s="90"/>
      <c r="F47" s="143"/>
      <c r="G47" s="143"/>
      <c r="H47" s="90"/>
      <c r="I47" s="84"/>
      <c r="J47" s="137"/>
      <c r="K47" s="84"/>
      <c r="L47" s="66">
        <f t="shared" ref="L47:L62" si="1">IF(K47&lt;0,0,1)</f>
        <v>1</v>
      </c>
    </row>
    <row r="48" spans="1:15">
      <c r="A48" s="78">
        <v>1</v>
      </c>
      <c r="B48" s="140"/>
      <c r="C48" s="141"/>
      <c r="D48" s="142"/>
      <c r="E48" s="90"/>
      <c r="F48" s="143"/>
      <c r="G48" s="143"/>
      <c r="H48" s="90"/>
      <c r="I48" s="84"/>
      <c r="J48" s="137"/>
      <c r="K48" s="84"/>
      <c r="L48" s="66">
        <f t="shared" si="1"/>
        <v>1</v>
      </c>
    </row>
    <row r="49" spans="1:12">
      <c r="A49" s="78">
        <v>2</v>
      </c>
      <c r="B49" s="140"/>
      <c r="C49" s="141"/>
      <c r="D49" s="142"/>
      <c r="E49" s="90"/>
      <c r="F49" s="143"/>
      <c r="G49" s="143"/>
      <c r="H49" s="90"/>
      <c r="I49" s="84"/>
      <c r="J49" s="137"/>
      <c r="K49" s="84"/>
      <c r="L49" s="66">
        <f t="shared" si="1"/>
        <v>1</v>
      </c>
    </row>
    <row r="50" spans="1:12">
      <c r="A50" s="78">
        <v>3</v>
      </c>
      <c r="B50" s="140"/>
      <c r="C50" s="141"/>
      <c r="D50" s="142"/>
      <c r="E50" s="90"/>
      <c r="F50" s="143"/>
      <c r="G50" s="143"/>
      <c r="H50" s="90"/>
      <c r="I50" s="84"/>
      <c r="J50" s="137"/>
      <c r="K50" s="84"/>
      <c r="L50" s="66">
        <f t="shared" si="1"/>
        <v>1</v>
      </c>
    </row>
    <row r="51" spans="1:12">
      <c r="A51" s="78">
        <v>4</v>
      </c>
      <c r="B51" s="140"/>
      <c r="C51" s="141"/>
      <c r="D51" s="142"/>
      <c r="E51" s="90"/>
      <c r="F51" s="143"/>
      <c r="G51" s="143"/>
      <c r="H51" s="90"/>
      <c r="I51" s="84"/>
      <c r="J51" s="137"/>
      <c r="K51" s="84"/>
      <c r="L51" s="66">
        <f t="shared" si="1"/>
        <v>1</v>
      </c>
    </row>
    <row r="52" spans="1:12">
      <c r="A52" s="78">
        <v>5</v>
      </c>
      <c r="B52" s="140"/>
      <c r="C52" s="141"/>
      <c r="D52" s="142"/>
      <c r="E52" s="90"/>
      <c r="F52" s="143"/>
      <c r="G52" s="143"/>
      <c r="H52" s="90"/>
      <c r="I52" s="84"/>
      <c r="J52" s="137"/>
      <c r="K52" s="84"/>
      <c r="L52" s="66">
        <f t="shared" si="1"/>
        <v>1</v>
      </c>
    </row>
    <row r="53" spans="1:12">
      <c r="A53" s="78">
        <v>6</v>
      </c>
      <c r="B53" s="140"/>
      <c r="C53" s="141"/>
      <c r="D53" s="142"/>
      <c r="E53" s="90"/>
      <c r="F53" s="143"/>
      <c r="G53" s="143"/>
      <c r="H53" s="90"/>
      <c r="I53" s="84"/>
      <c r="J53" s="137"/>
      <c r="K53" s="84"/>
      <c r="L53" s="66">
        <f t="shared" si="1"/>
        <v>1</v>
      </c>
    </row>
    <row r="54" spans="1:12">
      <c r="A54" s="78">
        <v>7</v>
      </c>
      <c r="B54" s="140"/>
      <c r="C54" s="141"/>
      <c r="D54" s="142"/>
      <c r="E54" s="90"/>
      <c r="F54" s="143"/>
      <c r="G54" s="143"/>
      <c r="H54" s="90"/>
      <c r="I54" s="84"/>
      <c r="J54" s="137"/>
      <c r="K54" s="84"/>
      <c r="L54" s="66">
        <f t="shared" si="1"/>
        <v>1</v>
      </c>
    </row>
    <row r="55" spans="1:12">
      <c r="A55" s="78">
        <v>8</v>
      </c>
      <c r="B55" s="140"/>
      <c r="C55" s="141"/>
      <c r="D55" s="142"/>
      <c r="E55" s="90"/>
      <c r="F55" s="143"/>
      <c r="G55" s="143"/>
      <c r="H55" s="90"/>
      <c r="I55" s="84"/>
      <c r="J55" s="137"/>
      <c r="K55" s="84"/>
      <c r="L55" s="66">
        <f t="shared" si="1"/>
        <v>1</v>
      </c>
    </row>
    <row r="56" spans="1:12">
      <c r="A56" s="78">
        <v>9</v>
      </c>
      <c r="B56" s="140"/>
      <c r="C56" s="141"/>
      <c r="D56" s="142"/>
      <c r="E56" s="90"/>
      <c r="F56" s="143"/>
      <c r="G56" s="143"/>
      <c r="H56" s="90"/>
      <c r="I56" s="84"/>
      <c r="J56" s="137"/>
      <c r="K56" s="84"/>
      <c r="L56" s="66">
        <f t="shared" si="1"/>
        <v>1</v>
      </c>
    </row>
    <row r="57" spans="1:12">
      <c r="A57" s="78">
        <v>10</v>
      </c>
      <c r="B57" s="140"/>
      <c r="C57" s="141"/>
      <c r="D57" s="142"/>
      <c r="E57" s="90"/>
      <c r="F57" s="143"/>
      <c r="G57" s="143"/>
      <c r="H57" s="90"/>
      <c r="I57" s="84"/>
      <c r="J57" s="137"/>
      <c r="K57" s="84"/>
      <c r="L57" s="66">
        <f t="shared" si="1"/>
        <v>1</v>
      </c>
    </row>
    <row r="58" spans="1:12">
      <c r="A58" s="78">
        <v>11</v>
      </c>
      <c r="B58" s="140"/>
      <c r="C58" s="141"/>
      <c r="D58" s="142"/>
      <c r="E58" s="90"/>
      <c r="F58" s="143"/>
      <c r="G58" s="143"/>
      <c r="H58" s="90"/>
      <c r="I58" s="84"/>
      <c r="J58" s="137"/>
      <c r="K58" s="84"/>
      <c r="L58" s="66">
        <f t="shared" si="1"/>
        <v>1</v>
      </c>
    </row>
    <row r="59" spans="1:12">
      <c r="A59" s="78">
        <v>12</v>
      </c>
      <c r="B59" s="140"/>
      <c r="C59" s="141"/>
      <c r="D59" s="142"/>
      <c r="E59" s="90"/>
      <c r="F59" s="143"/>
      <c r="G59" s="143"/>
      <c r="H59" s="90"/>
      <c r="I59" s="84"/>
      <c r="J59" s="137"/>
      <c r="K59" s="84"/>
      <c r="L59" s="66">
        <f t="shared" si="1"/>
        <v>1</v>
      </c>
    </row>
    <row r="60" spans="1:12">
      <c r="A60" s="78">
        <v>13</v>
      </c>
      <c r="B60" s="140"/>
      <c r="C60" s="141"/>
      <c r="D60" s="142"/>
      <c r="E60" s="90"/>
      <c r="F60" s="143"/>
      <c r="G60" s="143"/>
      <c r="H60" s="90"/>
      <c r="I60" s="84"/>
      <c r="J60" s="137"/>
      <c r="K60" s="84"/>
      <c r="L60" s="66">
        <f t="shared" si="1"/>
        <v>1</v>
      </c>
    </row>
    <row r="61" spans="1:12">
      <c r="A61" s="78">
        <v>14</v>
      </c>
      <c r="B61" s="140"/>
      <c r="C61" s="141"/>
      <c r="D61" s="142"/>
      <c r="E61" s="90"/>
      <c r="F61" s="143"/>
      <c r="G61" s="143"/>
      <c r="H61" s="90"/>
      <c r="I61" s="84"/>
      <c r="J61" s="137"/>
      <c r="K61" s="84"/>
      <c r="L61" s="66">
        <f t="shared" si="1"/>
        <v>1</v>
      </c>
    </row>
    <row r="62" spans="1:12">
      <c r="A62" s="78">
        <v>15</v>
      </c>
      <c r="B62" s="140"/>
      <c r="C62" s="141"/>
      <c r="D62" s="142"/>
      <c r="E62" s="90"/>
      <c r="F62" s="143"/>
      <c r="G62" s="143"/>
      <c r="H62" s="90"/>
      <c r="I62" s="84"/>
      <c r="J62" s="137"/>
      <c r="K62" s="84"/>
      <c r="L62" s="66">
        <f t="shared" si="1"/>
        <v>1</v>
      </c>
    </row>
    <row r="63" spans="1:12">
      <c r="A63" s="79"/>
      <c r="B63" s="79"/>
      <c r="C63" s="79"/>
      <c r="D63" s="79"/>
      <c r="E63" s="79"/>
      <c r="F63" s="80"/>
      <c r="G63" s="80"/>
      <c r="H63" s="80"/>
      <c r="I63" s="80"/>
      <c r="J63" s="80"/>
      <c r="K63" s="81"/>
    </row>
    <row r="65" spans="2:3" hidden="1">
      <c r="B65" s="66" t="s">
        <v>116</v>
      </c>
      <c r="C65" s="91" t="s">
        <v>118</v>
      </c>
    </row>
    <row r="66" spans="2:3" hidden="1">
      <c r="C66" s="91" t="s">
        <v>117</v>
      </c>
    </row>
    <row r="67" spans="2:3" hidden="1">
      <c r="C67" s="91" t="s">
        <v>119</v>
      </c>
    </row>
    <row r="68" spans="2:3" hidden="1">
      <c r="C68" s="91" t="s">
        <v>120</v>
      </c>
    </row>
    <row r="69" spans="2:3" hidden="1"/>
    <row r="70" spans="2:3" hidden="1"/>
    <row r="71" spans="2:3" hidden="1"/>
    <row r="72" spans="2:3" hidden="1"/>
    <row r="73" spans="2:3" hidden="1"/>
    <row r="74" spans="2:3" hidden="1"/>
    <row r="75" spans="2:3" hidden="1"/>
    <row r="76" spans="2:3" hidden="1"/>
    <row r="77" spans="2:3" hidden="1"/>
    <row r="78" spans="2:3" hidden="1"/>
    <row r="79" spans="2:3" hidden="1"/>
    <row r="80" spans="2:3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</sheetData>
  <mergeCells count="2">
    <mergeCell ref="G38:J40"/>
    <mergeCell ref="G10:J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CB1</vt:lpstr>
      <vt:lpstr>CB2</vt:lpstr>
      <vt:lpstr>CB3</vt:lpstr>
      <vt:lpstr>CB4</vt:lpstr>
      <vt:lpstr>CB5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Thi Thuong Huyen MA</cp:lastModifiedBy>
  <dcterms:created xsi:type="dcterms:W3CDTF">2017-02-15T04:16:32Z</dcterms:created>
  <dcterms:modified xsi:type="dcterms:W3CDTF">2024-12-13T23:12:52Z</dcterms:modified>
</cp:coreProperties>
</file>