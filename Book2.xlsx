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bookViews>
    <workbookView xWindow="0" yWindow="0" windowWidth="23040" windowHeight="9072"/>
  </bookViews>
  <sheets>
    <sheet name="CB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9" i="1" l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I42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</calcChain>
</file>

<file path=xl/sharedStrings.xml><?xml version="1.0" encoding="utf-8"?>
<sst xmlns="http://schemas.openxmlformats.org/spreadsheetml/2006/main" count="94" uniqueCount="52">
  <si>
    <t>- Nếu IRR &gt; tỉ lệ chiết khấu thì dự án khả thi</t>
  </si>
  <si>
    <t>- IRR cho biết mức lãi suất tối đa mà dự án có thể chấp nhận được, vượt quá nó thì kém hiệu quả sử dụng vốn.</t>
  </si>
  <si>
    <t>- Dự án có IRR lớn sẽ thể hiện khả năng sinh lời lớn;</t>
  </si>
  <si>
    <t>- IRR thể hiện với mức lãi suất đó để qui đổi dòng tiền thì, giá trị hiện tại thực thu = giá trị hiện tại thực chi;</t>
  </si>
  <si>
    <t>Kết luận:</t>
  </si>
  <si>
    <t>đổi</t>
  </si>
  <si>
    <t>tổng</t>
  </si>
  <si>
    <t>phụ</t>
  </si>
  <si>
    <t>đầu</t>
  </si>
  <si>
    <t>T</t>
  </si>
  <si>
    <t>NPV</t>
  </si>
  <si>
    <t>qui</t>
  </si>
  <si>
    <t>tiền</t>
  </si>
  <si>
    <t>phí</t>
  </si>
  <si>
    <t>thu</t>
  </si>
  <si>
    <t>ban</t>
  </si>
  <si>
    <t>Hệ số</t>
  </si>
  <si>
    <t>Dòng</t>
  </si>
  <si>
    <t>Chi</t>
  </si>
  <si>
    <t>Doanh</t>
  </si>
  <si>
    <t>Vón</t>
  </si>
  <si>
    <t>S</t>
  </si>
  <si>
    <t>n¨m</t>
  </si>
  <si>
    <t>Thêi gian hoµn vèn:</t>
  </si>
  <si>
    <t>Gi¸ trÞ FIRR :</t>
  </si>
  <si>
    <t>Gi¸ trÞ B/C :</t>
  </si>
  <si>
    <t>IRRy &gt; IRRx</t>
  </si>
  <si>
    <t>USD</t>
  </si>
  <si>
    <t>Gi¸ trÞ NPV :</t>
  </si>
  <si>
    <t>B/Cy &gt; B/Cx</t>
  </si>
  <si>
    <t>L·i suÊt :</t>
  </si>
  <si>
    <t>Dự án Y tốt hơn,--&gt; lựa chọn</t>
  </si>
  <si>
    <t>NPVy &gt;NPVx</t>
  </si>
  <si>
    <t>DỰ ÁN Y</t>
  </si>
  <si>
    <t>Tæng vèn ®Çu t­:</t>
  </si>
  <si>
    <t>năm</t>
  </si>
  <si>
    <t xml:space="preserve">Thời gian hoàn vốn: </t>
  </si>
  <si>
    <t>Giá trị FIRR :</t>
  </si>
  <si>
    <t>Giá trị B/C :</t>
  </si>
  <si>
    <t>Giá trị NPV</t>
  </si>
  <si>
    <t>Lãi suất:</t>
  </si>
  <si>
    <t>DỰ ÁN X</t>
  </si>
  <si>
    <t>Tổng vốn đầu tư</t>
  </si>
  <si>
    <r>
      <t xml:space="preserve">7) Màu </t>
    </r>
    <r>
      <rPr>
        <sz val="8"/>
        <color rgb="FFFFFF00"/>
        <rFont val="Times New Roman"/>
        <family val="1"/>
      </rPr>
      <t xml:space="preserve">vàng </t>
    </r>
    <r>
      <rPr>
        <sz val="8"/>
        <rFont val="Times New Roman"/>
        <family val="1"/>
      </rPr>
      <t>là các ô cần tính</t>
    </r>
  </si>
  <si>
    <r>
      <t>6) Màu</t>
    </r>
    <r>
      <rPr>
        <sz val="8"/>
        <color rgb="FF0070C0"/>
        <rFont val="Times New Roman"/>
        <family val="1"/>
      </rPr>
      <t xml:space="preserve"> xanh </t>
    </r>
    <r>
      <rPr>
        <sz val="8"/>
        <rFont val="Times New Roman"/>
        <family val="1"/>
      </rPr>
      <t>là các ô cần nhập</t>
    </r>
  </si>
  <si>
    <t>5) Tính NPV (tính theo công thức bên phải)</t>
  </si>
  <si>
    <t>4) FIRR tính cho dòng tiền tổng dùng hàm IRR</t>
  </si>
  <si>
    <t>3) Hệ số qui đổi (P/F,i%,n) tính về hiện tại:</t>
  </si>
  <si>
    <t>2) Dòng tiền tổng = Dòng tiền + Dòng tiền phụ</t>
  </si>
  <si>
    <t>1) Dòng tiền = Doanh thu - Chi phí</t>
  </si>
  <si>
    <t>Hướng dẫn bảng tính:</t>
  </si>
  <si>
    <t>SO SÁNH HAI DỰ ÁN THEO CÁC CHỈ TIÊU TÀI CHÍNH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</si>
</sst>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(* #,##0.00_);_(* \(#,##0.00\);_(* &quot;-&quot;??_);_(@_)"/>
    <numFmt numFmtId="165" formatCode="#,##0.0000"/>
    <numFmt numFmtId="166" formatCode="#,##0.0"/>
    <numFmt numFmtId="167" formatCode="#,##0.000"/>
    <numFmt numFmtId="168" formatCode="0.0%"/>
    <numFmt numFmtId="169" formatCode="0.000%"/>
  </numFmts>
  <fonts count="14"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1"/>
      <color theme="1"/>
      <name val="Times New Roman"/>
      <family val="1"/>
    </font>
    <font>
      <sz val="8"/>
      <name val="Times New Roman"/>
      <family val="1"/>
    </font>
    <font>
      <b/>
      <sz val="8"/>
      <name val=".VnTime"/>
      <family val="2"/>
    </font>
    <font>
      <sz val="12"/>
      <name val=".VnTime"/>
      <family val="2"/>
    </font>
    <font>
      <sz val="8"/>
      <name val=".VnTime"/>
      <family val="2"/>
    </font>
    <font>
      <b/>
      <sz val="32"/>
      <color theme="1"/>
      <name val="Times New Roman"/>
      <family val="1"/>
    </font>
    <font>
      <b/>
      <sz val="8"/>
      <name val="Arial"/>
      <family val="2"/>
      <scheme val="minor"/>
    </font>
    <font>
      <sz val="8"/>
      <name val="Arial"/>
      <family val="2"/>
      <scheme val="minor"/>
    </font>
    <font>
      <b/>
      <sz val="8"/>
      <name val="Times New Roman"/>
      <family val="1"/>
    </font>
    <font>
      <b/>
      <sz val="8"/>
      <color rgb="FFFF0000"/>
      <name val="Times New Roman"/>
      <family val="1"/>
    </font>
    <font>
      <sz val="8"/>
      <color rgb="FFFFFF00"/>
      <name val="Times New Roman"/>
      <family val="1"/>
    </font>
    <font>
      <sz val="8"/>
      <color rgb="FF0070C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2" fillId="0" borderId="0" xfId="0" quotePrefix="1" applyFont="1"/>
    <xf numFmtId="3" fontId="3" fillId="0" borderId="1" xfId="1" applyNumberFormat="1" applyFont="1" applyFill="1" applyBorder="1" applyAlignment="1">
      <alignment vertical="center"/>
    </xf>
    <xf numFmtId="165" fontId="3" fillId="0" borderId="1" xfId="1" applyNumberFormat="1" applyFont="1" applyFill="1" applyBorder="1" applyAlignment="1">
      <alignment vertical="center"/>
    </xf>
    <xf numFmtId="166" fontId="3" fillId="0" borderId="1" xfId="1" applyNumberFormat="1" applyFont="1" applyFill="1" applyBorder="1" applyAlignment="1">
      <alignment vertical="center"/>
    </xf>
    <xf numFmtId="166" fontId="3" fillId="2" borderId="2" xfId="1" applyNumberFormat="1" applyFont="1" applyFill="1" applyBorder="1" applyAlignment="1">
      <alignment horizontal="center" vertical="center"/>
    </xf>
    <xf numFmtId="165" fontId="3" fillId="2" borderId="2" xfId="1" applyNumberFormat="1" applyFont="1" applyFill="1" applyBorder="1" applyAlignment="1">
      <alignment horizontal="center" vertical="center"/>
    </xf>
    <xf numFmtId="166" fontId="3" fillId="2" borderId="2" xfId="1" applyNumberFormat="1" applyFont="1" applyFill="1" applyBorder="1" applyAlignment="1">
      <alignment vertical="center"/>
    </xf>
    <xf numFmtId="166" fontId="3" fillId="3" borderId="2" xfId="1" applyNumberFormat="1" applyFont="1" applyFill="1" applyBorder="1" applyAlignment="1">
      <alignment horizontal="center" vertical="center"/>
    </xf>
    <xf numFmtId="166" fontId="3" fillId="3" borderId="3" xfId="1" applyNumberFormat="1" applyFont="1" applyFill="1" applyBorder="1" applyAlignment="1">
      <alignment vertical="center"/>
    </xf>
    <xf numFmtId="4" fontId="3" fillId="3" borderId="2" xfId="1" applyNumberFormat="1" applyFont="1" applyFill="1" applyBorder="1" applyAlignment="1">
      <alignment vertical="center"/>
    </xf>
    <xf numFmtId="166" fontId="3" fillId="3" borderId="2" xfId="1" applyNumberFormat="1" applyFont="1" applyFill="1" applyBorder="1" applyAlignment="1">
      <alignment vertical="center"/>
    </xf>
    <xf numFmtId="3" fontId="3" fillId="0" borderId="2" xfId="1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Continuous" vertical="center"/>
    </xf>
    <xf numFmtId="0" fontId="3" fillId="0" borderId="6" xfId="0" applyFont="1" applyBorder="1" applyAlignment="1">
      <alignment vertical="center"/>
    </xf>
    <xf numFmtId="0" fontId="3" fillId="0" borderId="6" xfId="0" applyFont="1" applyBorder="1" applyAlignment="1">
      <alignment horizontal="centerContinuous" vertical="center"/>
    </xf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9" fontId="2" fillId="2" borderId="0" xfId="0" applyNumberFormat="1" applyFont="1" applyFill="1"/>
    <xf numFmtId="0" fontId="6" fillId="0" borderId="0" xfId="0" applyFont="1" applyAlignment="1">
      <alignment vertical="center"/>
    </xf>
    <xf numFmtId="167" fontId="4" fillId="2" borderId="0" xfId="0" applyNumberFormat="1" applyFont="1" applyFill="1" applyAlignment="1">
      <alignment vertic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166" fontId="4" fillId="2" borderId="0" xfId="0" applyNumberFormat="1" applyFont="1" applyFill="1" applyAlignment="1">
      <alignment vertical="center"/>
    </xf>
    <xf numFmtId="0" fontId="7" fillId="0" borderId="1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1" xfId="0" applyFont="1" applyBorder="1" applyAlignment="1">
      <alignment horizontal="center"/>
    </xf>
    <xf numFmtId="10" fontId="6" fillId="0" borderId="0" xfId="2" applyNumberFormat="1" applyFont="1" applyFill="1" applyAlignment="1">
      <alignment vertic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3" fontId="4" fillId="3" borderId="0" xfId="0" applyNumberFormat="1" applyFont="1" applyFill="1" applyAlignment="1">
      <alignment vertical="center"/>
    </xf>
    <xf numFmtId="3" fontId="2" fillId="0" borderId="0" xfId="0" applyNumberFormat="1" applyFont="1"/>
    <xf numFmtId="166" fontId="2" fillId="0" borderId="0" xfId="0" applyNumberFormat="1" applyFont="1"/>
    <xf numFmtId="0" fontId="2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3" fontId="4" fillId="2" borderId="15" xfId="0" applyNumberFormat="1" applyFont="1" applyFill="1" applyBorder="1" applyAlignment="1">
      <alignment vertical="center"/>
    </xf>
    <xf numFmtId="9" fontId="2" fillId="2" borderId="15" xfId="0" applyNumberFormat="1" applyFont="1" applyFill="1" applyBorder="1"/>
    <xf numFmtId="168" fontId="6" fillId="0" borderId="0" xfId="2" applyNumberFormat="1" applyFont="1" applyFill="1" applyAlignment="1">
      <alignment vertical="center"/>
    </xf>
    <xf numFmtId="164" fontId="6" fillId="0" borderId="0" xfId="1" applyFont="1" applyFill="1" applyAlignment="1">
      <alignment vertical="center"/>
    </xf>
    <xf numFmtId="167" fontId="4" fillId="2" borderId="15" xfId="0" applyNumberFormat="1" applyFont="1" applyFill="1" applyBorder="1" applyAlignment="1">
      <alignment vertical="center"/>
    </xf>
    <xf numFmtId="166" fontId="4" fillId="2" borderId="15" xfId="0" applyNumberFormat="1" applyFont="1" applyFill="1" applyBorder="1" applyAlignment="1">
      <alignment vertical="center"/>
    </xf>
    <xf numFmtId="9" fontId="3" fillId="0" borderId="0" xfId="2" applyFont="1" applyFill="1" applyAlignment="1">
      <alignment vertical="center"/>
    </xf>
    <xf numFmtId="0" fontId="3" fillId="0" borderId="0" xfId="0" applyFont="1" applyAlignment="1">
      <alignment vertical="center"/>
    </xf>
    <xf numFmtId="10" fontId="6" fillId="3" borderId="16" xfId="2" applyNumberFormat="1" applyFont="1" applyFill="1" applyBorder="1" applyAlignment="1">
      <alignment vertical="center"/>
    </xf>
    <xf numFmtId="0" fontId="9" fillId="0" borderId="0" xfId="0" applyFont="1" applyAlignment="1">
      <alignment vertical="center"/>
    </xf>
    <xf numFmtId="169" fontId="4" fillId="0" borderId="0" xfId="2" applyNumberFormat="1" applyFont="1" applyFill="1" applyAlignment="1">
      <alignment vertical="center"/>
    </xf>
    <xf numFmtId="0" fontId="10" fillId="0" borderId="0" xfId="0" applyFont="1" applyAlignment="1">
      <alignment vertical="center"/>
    </xf>
    <xf numFmtId="3" fontId="4" fillId="3" borderId="17" xfId="0" applyNumberFormat="1" applyFont="1" applyFill="1" applyBorder="1" applyAlignment="1">
      <alignment vertical="center"/>
    </xf>
    <xf numFmtId="164" fontId="3" fillId="0" borderId="0" xfId="1" applyFont="1" applyFill="1" applyAlignment="1">
      <alignment vertical="center"/>
    </xf>
    <xf numFmtId="0" fontId="11" fillId="0" borderId="0" xfId="0" applyFont="1" applyAlignment="1">
      <alignment vertical="center"/>
    </xf>
    <xf numFmtId="0" fontId="3" fillId="4" borderId="7" xfId="0" applyFont="1" applyFill="1" applyBorder="1" applyAlignment="1">
      <alignment vertical="center"/>
    </xf>
    <xf numFmtId="0" fontId="3" fillId="4" borderId="8" xfId="0" applyFont="1" applyFill="1" applyBorder="1" applyAlignment="1">
      <alignment vertical="center"/>
    </xf>
    <xf numFmtId="0" fontId="3" fillId="4" borderId="9" xfId="0" applyFont="1" applyFill="1" applyBorder="1" applyAlignment="1">
      <alignment vertical="center"/>
    </xf>
    <xf numFmtId="0" fontId="3" fillId="4" borderId="10" xfId="0" applyFont="1" applyFill="1" applyBorder="1" applyAlignment="1">
      <alignment vertical="center"/>
    </xf>
    <xf numFmtId="0" fontId="3" fillId="4" borderId="0" xfId="0" applyFont="1" applyFill="1" applyAlignment="1">
      <alignment vertical="center"/>
    </xf>
    <xf numFmtId="0" fontId="3" fillId="4" borderId="11" xfId="0" applyFont="1" applyFill="1" applyBorder="1" applyAlignment="1">
      <alignment vertical="center"/>
    </xf>
    <xf numFmtId="0" fontId="3" fillId="5" borderId="10" xfId="0" applyFont="1" applyFill="1" applyBorder="1" applyAlignment="1">
      <alignment vertical="center"/>
    </xf>
    <xf numFmtId="0" fontId="3" fillId="5" borderId="0" xfId="0" applyFont="1" applyFill="1" applyAlignment="1">
      <alignment vertical="center"/>
    </xf>
    <xf numFmtId="0" fontId="3" fillId="5" borderId="11" xfId="0" applyFont="1" applyFill="1" applyBorder="1" applyAlignment="1">
      <alignment vertical="center"/>
    </xf>
    <xf numFmtId="0" fontId="3" fillId="5" borderId="12" xfId="0" applyFont="1" applyFill="1" applyBorder="1" applyAlignment="1">
      <alignment vertical="center"/>
    </xf>
    <xf numFmtId="0" fontId="3" fillId="5" borderId="13" xfId="0" applyFont="1" applyFill="1" applyBorder="1" applyAlignment="1">
      <alignment vertical="center"/>
    </xf>
    <xf numFmtId="0" fontId="10" fillId="5" borderId="14" xfId="0" applyFont="1" applyFill="1" applyBorder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18825</xdr:colOff>
      <xdr:row>1</xdr:row>
      <xdr:rowOff>0</xdr:rowOff>
    </xdr:from>
    <xdr:ext cx="4385700" cy="114138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3205" y="190500"/>
          <a:ext cx="4385700" cy="1141384"/>
        </a:xfrm>
        <a:prstGeom prst="rect">
          <a:avLst/>
        </a:prstGeom>
      </xdr:spPr>
    </xdr:pic>
    <xdr:clientData/>
  </xdr:oneCellAnchor>
  <xdr:oneCellAnchor>
    <xdr:from>
      <xdr:col>0</xdr:col>
      <xdr:colOff>149087</xdr:colOff>
      <xdr:row>103</xdr:row>
      <xdr:rowOff>0</xdr:rowOff>
    </xdr:from>
    <xdr:ext cx="7259595" cy="2173153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087" y="19621500"/>
          <a:ext cx="7259595" cy="2173153"/>
        </a:xfrm>
        <a:prstGeom prst="rect">
          <a:avLst/>
        </a:prstGeom>
      </xdr:spPr>
    </xdr:pic>
    <xdr:clientData/>
  </xdr:oneCellAnchor>
  <xdr:twoCellAnchor>
    <xdr:from>
      <xdr:col>13</xdr:col>
      <xdr:colOff>21980</xdr:colOff>
      <xdr:row>11</xdr:row>
      <xdr:rowOff>205154</xdr:rowOff>
    </xdr:from>
    <xdr:to>
      <xdr:col>19</xdr:col>
      <xdr:colOff>0</xdr:colOff>
      <xdr:row>12</xdr:row>
      <xdr:rowOff>7327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9828920" y="2285414"/>
          <a:ext cx="4504300" cy="791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36634</xdr:colOff>
      <xdr:row>11</xdr:row>
      <xdr:rowOff>197827</xdr:rowOff>
    </xdr:from>
    <xdr:to>
      <xdr:col>13</xdr:col>
      <xdr:colOff>36634</xdr:colOff>
      <xdr:row>15</xdr:row>
      <xdr:rowOff>168519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9843574" y="2285707"/>
          <a:ext cx="0" cy="7403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329711</xdr:colOff>
      <xdr:row>10</xdr:row>
      <xdr:rowOff>14654</xdr:rowOff>
    </xdr:from>
    <xdr:to>
      <xdr:col>13</xdr:col>
      <xdr:colOff>329711</xdr:colOff>
      <xdr:row>11</xdr:row>
      <xdr:rowOff>197828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 flipV="1">
          <a:off x="10136651" y="1919654"/>
          <a:ext cx="0" cy="36605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674076</xdr:colOff>
      <xdr:row>10</xdr:row>
      <xdr:rowOff>14654</xdr:rowOff>
    </xdr:from>
    <xdr:to>
      <xdr:col>13</xdr:col>
      <xdr:colOff>674076</xdr:colOff>
      <xdr:row>11</xdr:row>
      <xdr:rowOff>197828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/>
      </xdr:nvCxnSpPr>
      <xdr:spPr>
        <a:xfrm flipV="1">
          <a:off x="10481016" y="1919654"/>
          <a:ext cx="0" cy="36605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329711</xdr:colOff>
      <xdr:row>10</xdr:row>
      <xdr:rowOff>14654</xdr:rowOff>
    </xdr:from>
    <xdr:to>
      <xdr:col>14</xdr:col>
      <xdr:colOff>329711</xdr:colOff>
      <xdr:row>11</xdr:row>
      <xdr:rowOff>197828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 flipV="1">
          <a:off x="10891031" y="1919654"/>
          <a:ext cx="0" cy="36605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674076</xdr:colOff>
      <xdr:row>10</xdr:row>
      <xdr:rowOff>14654</xdr:rowOff>
    </xdr:from>
    <xdr:to>
      <xdr:col>14</xdr:col>
      <xdr:colOff>674076</xdr:colOff>
      <xdr:row>11</xdr:row>
      <xdr:rowOff>197828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V="1">
          <a:off x="11235396" y="1919654"/>
          <a:ext cx="0" cy="36605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681403</xdr:colOff>
      <xdr:row>10</xdr:row>
      <xdr:rowOff>14654</xdr:rowOff>
    </xdr:from>
    <xdr:to>
      <xdr:col>18</xdr:col>
      <xdr:colOff>681403</xdr:colOff>
      <xdr:row>11</xdr:row>
      <xdr:rowOff>197828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V="1">
          <a:off x="14260243" y="1919654"/>
          <a:ext cx="0" cy="36605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644768</xdr:colOff>
      <xdr:row>11</xdr:row>
      <xdr:rowOff>51288</xdr:rowOff>
    </xdr:from>
    <xdr:to>
      <xdr:col>18</xdr:col>
      <xdr:colOff>644768</xdr:colOff>
      <xdr:row>11</xdr:row>
      <xdr:rowOff>197829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 flipV="1">
          <a:off x="14223608" y="2146788"/>
          <a:ext cx="0" cy="13892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322384</xdr:colOff>
      <xdr:row>12</xdr:row>
      <xdr:rowOff>7327</xdr:rowOff>
    </xdr:from>
    <xdr:to>
      <xdr:col>13</xdr:col>
      <xdr:colOff>322384</xdr:colOff>
      <xdr:row>13</xdr:row>
      <xdr:rowOff>58615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10129324" y="2293327"/>
          <a:ext cx="0" cy="241788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674077</xdr:colOff>
      <xdr:row>12</xdr:row>
      <xdr:rowOff>7327</xdr:rowOff>
    </xdr:from>
    <xdr:to>
      <xdr:col>13</xdr:col>
      <xdr:colOff>674077</xdr:colOff>
      <xdr:row>13</xdr:row>
      <xdr:rowOff>58615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CxnSpPr/>
      </xdr:nvCxnSpPr>
      <xdr:spPr>
        <a:xfrm>
          <a:off x="10481017" y="2293327"/>
          <a:ext cx="0" cy="241788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322386</xdr:colOff>
      <xdr:row>12</xdr:row>
      <xdr:rowOff>7327</xdr:rowOff>
    </xdr:from>
    <xdr:to>
      <xdr:col>14</xdr:col>
      <xdr:colOff>322386</xdr:colOff>
      <xdr:row>13</xdr:row>
      <xdr:rowOff>58615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CxnSpPr/>
      </xdr:nvCxnSpPr>
      <xdr:spPr>
        <a:xfrm>
          <a:off x="10883706" y="2293327"/>
          <a:ext cx="0" cy="241788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666751</xdr:colOff>
      <xdr:row>12</xdr:row>
      <xdr:rowOff>7327</xdr:rowOff>
    </xdr:from>
    <xdr:to>
      <xdr:col>14</xdr:col>
      <xdr:colOff>666751</xdr:colOff>
      <xdr:row>13</xdr:row>
      <xdr:rowOff>58615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CxnSpPr/>
      </xdr:nvCxnSpPr>
      <xdr:spPr>
        <a:xfrm>
          <a:off x="11228071" y="2293327"/>
          <a:ext cx="0" cy="241788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7328</xdr:colOff>
      <xdr:row>12</xdr:row>
      <xdr:rowOff>7327</xdr:rowOff>
    </xdr:from>
    <xdr:to>
      <xdr:col>19</xdr:col>
      <xdr:colOff>7328</xdr:colOff>
      <xdr:row>13</xdr:row>
      <xdr:rowOff>58615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CxnSpPr/>
      </xdr:nvCxnSpPr>
      <xdr:spPr>
        <a:xfrm>
          <a:off x="14340548" y="2293327"/>
          <a:ext cx="0" cy="241788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609484</xdr:colOff>
      <xdr:row>1</xdr:row>
      <xdr:rowOff>5254</xdr:rowOff>
    </xdr:from>
    <xdr:ext cx="1808893" cy="34195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4CC530E1-743E-48C9-800D-4811BF85D13F}"/>
                </a:ext>
              </a:extLst>
            </xdr:cNvPr>
            <xdr:cNvSpPr txBox="1"/>
          </xdr:nvSpPr>
          <xdr:spPr>
            <a:xfrm>
              <a:off x="11170804" y="195754"/>
              <a:ext cx="1808893" cy="341953"/>
            </a:xfrm>
            <a:prstGeom prst="rect">
              <a:avLst/>
            </a:prstGeom>
            <a:solidFill>
              <a:schemeClr val="accent2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11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𝑃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/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𝐹</m:t>
                            </m:r>
                            <m:r>
                              <a:rPr lang="en-US" sz="11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US" sz="11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sz="11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%,</m:t>
                            </m:r>
                            <m:r>
                              <a:rPr lang="en-US" sz="11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𝑛</m:t>
                            </m:r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 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𝛽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sSup>
                          <m:sSup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1+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𝑖</m:t>
                                </m:r>
                              </m:e>
                            </m:d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4CC530E1-743E-48C9-800D-4811BF85D13F}"/>
                </a:ext>
              </a:extLst>
            </xdr:cNvPr>
            <xdr:cNvSpPr txBox="1"/>
          </xdr:nvSpPr>
          <xdr:spPr>
            <a:xfrm>
              <a:off x="11170804" y="195754"/>
              <a:ext cx="1808893" cy="341953"/>
            </a:xfrm>
            <a:prstGeom prst="rect">
              <a:avLst/>
            </a:prstGeom>
            <a:solidFill>
              <a:schemeClr val="accent2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〖(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𝑃/𝐹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,𝑖%,𝑛)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𝛽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〗^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𝑛=</a:t>
              </a:r>
              <a:r>
                <a:rPr lang="en-US" sz="1100" b="0" i="0">
                  <a:latin typeface="Cambria Math" panose="02040503050406030204" pitchFamily="18" charset="0"/>
                </a:rPr>
                <a:t>1/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(1+𝑖)^</a:t>
              </a:r>
              <a:r>
                <a:rPr lang="en-US" sz="1100" b="0" i="0">
                  <a:latin typeface="Cambria Math" panose="02040503050406030204" pitchFamily="18" charset="0"/>
                </a:rPr>
                <a:t>𝑛 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0</xdr:colOff>
      <xdr:row>1</xdr:row>
      <xdr:rowOff>0</xdr:rowOff>
    </xdr:from>
    <xdr:ext cx="984885" cy="49379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5A0C6AFF-ECFF-4B91-BC26-B03EB33BF8B6}"/>
                </a:ext>
              </a:extLst>
            </xdr:cNvPr>
            <xdr:cNvSpPr txBox="1"/>
          </xdr:nvSpPr>
          <xdr:spPr>
            <a:xfrm>
              <a:off x="9806940" y="190500"/>
              <a:ext cx="984885" cy="493790"/>
            </a:xfrm>
            <a:prstGeom prst="rect">
              <a:avLst/>
            </a:prstGeom>
            <a:solidFill>
              <a:schemeClr val="accent2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𝑁𝑃𝑉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=0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15</m:t>
                        </m:r>
                      </m:sup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𝐴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sSup>
                          <m:sSup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𝛽</m:t>
                            </m:r>
                          </m:e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</m:t>
                            </m:r>
                          </m:sup>
                        </m:sSup>
                      </m:e>
                    </m:nary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5A0C6AFF-ECFF-4B91-BC26-B03EB33BF8B6}"/>
                </a:ext>
              </a:extLst>
            </xdr:cNvPr>
            <xdr:cNvSpPr txBox="1"/>
          </xdr:nvSpPr>
          <xdr:spPr>
            <a:xfrm>
              <a:off x="9806940" y="190500"/>
              <a:ext cx="984885" cy="493790"/>
            </a:xfrm>
            <a:prstGeom prst="rect">
              <a:avLst/>
            </a:prstGeom>
            <a:solidFill>
              <a:schemeClr val="accent2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𝑁𝑃𝑉=∑_(𝑡=0)^15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𝐴_𝑡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𝛽^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〗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U92"/>
  <sheetViews>
    <sheetView tabSelected="1" zoomScale="109" zoomScaleNormal="145" workbookViewId="0">
      <selection activeCell="K24" sqref="K24"/>
    </sheetView>
  </sheetViews>
  <sheetFormatPr defaultColWidth="9" defaultRowHeight="13.8"/>
  <cols>
    <col min="1" max="1" width="2.36328125" style="1" bestFit="1" customWidth="1"/>
    <col min="2" max="11" width="9" style="1"/>
    <col min="12" max="12" width="0" style="1" hidden="1" customWidth="1"/>
    <col min="13" max="16384" width="9" style="1"/>
  </cols>
  <sheetData>
    <row r="1" spans="1:21" customFormat="1" ht="15">
      <c r="A1" s="55" t="s">
        <v>51</v>
      </c>
      <c r="B1" s="23"/>
      <c r="C1" s="23"/>
      <c r="D1" s="23"/>
      <c r="E1" s="23"/>
      <c r="F1" s="23"/>
      <c r="G1" s="48"/>
      <c r="H1" s="48"/>
      <c r="I1" s="67" t="s">
        <v>50</v>
      </c>
      <c r="J1" s="66"/>
      <c r="K1" s="65"/>
      <c r="L1" s="48"/>
      <c r="M1" s="54"/>
      <c r="N1" s="1"/>
      <c r="O1" s="1"/>
      <c r="P1" s="1"/>
      <c r="Q1" s="1"/>
      <c r="R1" s="23"/>
      <c r="S1" s="23"/>
      <c r="T1" s="44"/>
      <c r="U1" s="23"/>
    </row>
    <row r="2" spans="1:21" customFormat="1" ht="15">
      <c r="A2" s="55"/>
      <c r="B2" s="23"/>
      <c r="C2" s="23"/>
      <c r="D2" s="23"/>
      <c r="E2" s="23"/>
      <c r="F2" s="23"/>
      <c r="G2" s="48"/>
      <c r="H2" s="48"/>
      <c r="I2" s="64" t="s">
        <v>49</v>
      </c>
      <c r="J2" s="63"/>
      <c r="K2" s="62"/>
      <c r="L2" s="48"/>
      <c r="M2" s="54"/>
      <c r="N2" s="1"/>
      <c r="O2" s="1"/>
      <c r="P2" s="1"/>
      <c r="Q2" s="1"/>
      <c r="R2" s="23"/>
      <c r="S2" s="23"/>
      <c r="T2" s="44"/>
      <c r="U2" s="23"/>
    </row>
    <row r="3" spans="1:21" customFormat="1" ht="15">
      <c r="A3" s="55"/>
      <c r="B3" s="23"/>
      <c r="C3" s="23"/>
      <c r="D3" s="23"/>
      <c r="E3" s="23"/>
      <c r="F3" s="23"/>
      <c r="G3" s="48"/>
      <c r="H3" s="48"/>
      <c r="I3" s="64" t="s">
        <v>48</v>
      </c>
      <c r="J3" s="63"/>
      <c r="K3" s="62"/>
      <c r="L3" s="48"/>
      <c r="M3" s="54"/>
      <c r="N3" s="1"/>
      <c r="O3" s="1"/>
      <c r="P3" s="1"/>
      <c r="Q3" s="1"/>
      <c r="R3" s="23"/>
      <c r="S3" s="23"/>
      <c r="T3" s="44"/>
      <c r="U3" s="23"/>
    </row>
    <row r="4" spans="1:21" customFormat="1" ht="15">
      <c r="A4" s="55"/>
      <c r="B4" s="23"/>
      <c r="C4" s="23"/>
      <c r="D4" s="23"/>
      <c r="E4" s="23"/>
      <c r="F4" s="23"/>
      <c r="G4" s="48"/>
      <c r="H4" s="48"/>
      <c r="I4" s="64" t="s">
        <v>47</v>
      </c>
      <c r="J4" s="63"/>
      <c r="K4" s="62"/>
      <c r="L4" s="48"/>
      <c r="M4" s="54"/>
      <c r="N4" s="1"/>
      <c r="O4" s="1"/>
      <c r="P4" s="1"/>
      <c r="Q4" s="1"/>
      <c r="R4" s="23"/>
      <c r="S4" s="23"/>
      <c r="T4" s="44"/>
      <c r="U4" s="23"/>
    </row>
    <row r="5" spans="1:21" customFormat="1" ht="15">
      <c r="A5" s="55"/>
      <c r="B5" s="23"/>
      <c r="C5" s="23"/>
      <c r="D5" s="23"/>
      <c r="E5" s="23"/>
      <c r="F5" s="23"/>
      <c r="G5" s="48"/>
      <c r="H5" s="48"/>
      <c r="I5" s="64" t="s">
        <v>46</v>
      </c>
      <c r="J5" s="63"/>
      <c r="K5" s="62"/>
      <c r="L5" s="48"/>
      <c r="M5" s="54"/>
      <c r="N5" s="1"/>
      <c r="O5" s="1"/>
      <c r="P5" s="1"/>
      <c r="Q5" s="1"/>
      <c r="R5" s="23"/>
      <c r="S5" s="23"/>
      <c r="T5" s="44"/>
      <c r="U5" s="23"/>
    </row>
    <row r="6" spans="1:21" customFormat="1" ht="15">
      <c r="A6" s="55"/>
      <c r="B6" s="23"/>
      <c r="C6" s="23"/>
      <c r="D6" s="23"/>
      <c r="E6" s="23"/>
      <c r="F6" s="23"/>
      <c r="G6" s="48"/>
      <c r="H6" s="48"/>
      <c r="I6" s="64" t="s">
        <v>45</v>
      </c>
      <c r="J6" s="63"/>
      <c r="K6" s="62"/>
      <c r="L6" s="48"/>
      <c r="M6" s="54"/>
      <c r="N6" s="1"/>
      <c r="O6" s="1"/>
      <c r="P6" s="1"/>
      <c r="Q6" s="1"/>
      <c r="R6" s="23"/>
      <c r="S6" s="23"/>
      <c r="T6" s="44"/>
      <c r="U6" s="23"/>
    </row>
    <row r="7" spans="1:21" customFormat="1" ht="15">
      <c r="A7" s="55"/>
      <c r="B7" s="23"/>
      <c r="C7" s="23"/>
      <c r="D7" s="23"/>
      <c r="E7" s="23"/>
      <c r="F7" s="23"/>
      <c r="G7" s="48"/>
      <c r="H7" s="48"/>
      <c r="I7" s="61" t="s">
        <v>44</v>
      </c>
      <c r="J7" s="60"/>
      <c r="K7" s="59"/>
      <c r="L7" s="48"/>
      <c r="M7" s="54"/>
      <c r="N7" s="1"/>
      <c r="O7" s="1"/>
      <c r="P7" s="1"/>
      <c r="Q7" s="1"/>
      <c r="R7" s="23"/>
      <c r="S7" s="23"/>
      <c r="T7" s="44"/>
      <c r="U7" s="23"/>
    </row>
    <row r="8" spans="1:21" customFormat="1" ht="15.6" thickBot="1">
      <c r="A8" s="55"/>
      <c r="B8" s="23"/>
      <c r="C8" s="23"/>
      <c r="D8" s="23"/>
      <c r="E8" s="23"/>
      <c r="F8" s="23"/>
      <c r="G8" s="48"/>
      <c r="H8" s="48"/>
      <c r="I8" s="58" t="s">
        <v>43</v>
      </c>
      <c r="J8" s="57"/>
      <c r="K8" s="56"/>
      <c r="L8" s="48"/>
      <c r="M8" s="54"/>
      <c r="N8" s="1"/>
      <c r="O8" s="1"/>
      <c r="P8" s="1"/>
      <c r="Q8" s="1"/>
      <c r="R8" s="23"/>
      <c r="S8" s="23"/>
      <c r="T8" s="44"/>
      <c r="U8" s="23"/>
    </row>
    <row r="9" spans="1:21" customFormat="1" ht="15.6" thickBot="1">
      <c r="A9" s="55"/>
      <c r="B9" s="23"/>
      <c r="C9" s="23"/>
      <c r="D9" s="23"/>
      <c r="E9" s="23"/>
      <c r="F9" s="23"/>
      <c r="G9" s="48"/>
      <c r="H9" s="48"/>
      <c r="I9" s="48"/>
      <c r="J9" s="48"/>
      <c r="K9" s="48"/>
      <c r="L9" s="48"/>
      <c r="M9" s="54"/>
      <c r="N9" s="1"/>
      <c r="O9" s="1"/>
      <c r="P9" s="1"/>
      <c r="Q9" s="1"/>
      <c r="R9" s="23"/>
      <c r="S9" s="23"/>
      <c r="T9" s="44"/>
      <c r="U9" s="23"/>
    </row>
    <row r="10" spans="1:21" customFormat="1" ht="15.6" thickBot="1">
      <c r="A10" s="23"/>
      <c r="B10" s="19" t="s">
        <v>42</v>
      </c>
      <c r="C10" s="19"/>
      <c r="D10" s="53"/>
      <c r="E10" s="19" t="s">
        <v>27</v>
      </c>
      <c r="F10" s="1"/>
      <c r="G10" s="35" t="s">
        <v>41</v>
      </c>
      <c r="H10" s="34"/>
      <c r="I10" s="34"/>
      <c r="J10" s="33"/>
      <c r="K10" s="48"/>
      <c r="L10" s="48"/>
      <c r="M10" s="47"/>
      <c r="N10" s="52"/>
      <c r="O10" s="52"/>
      <c r="P10" s="51"/>
      <c r="Q10" s="19"/>
      <c r="R10" s="23"/>
      <c r="S10" s="23"/>
      <c r="T10" s="44"/>
      <c r="U10" s="23"/>
    </row>
    <row r="11" spans="1:21" customFormat="1" ht="15">
      <c r="A11" s="23"/>
      <c r="B11" s="50" t="s">
        <v>40</v>
      </c>
      <c r="C11" s="23"/>
      <c r="D11" s="49">
        <v>0.08</v>
      </c>
      <c r="E11" s="1"/>
      <c r="F11" s="1"/>
      <c r="G11" s="31"/>
      <c r="H11" s="30"/>
      <c r="I11" s="30"/>
      <c r="J11" s="29"/>
      <c r="K11" s="48"/>
      <c r="L11" s="48"/>
      <c r="M11" s="47"/>
      <c r="N11" s="1"/>
      <c r="O11" s="1"/>
      <c r="P11" s="1"/>
      <c r="Q11" s="19"/>
      <c r="R11" s="23"/>
      <c r="S11" s="23"/>
      <c r="T11" s="44"/>
      <c r="U11" s="23"/>
    </row>
    <row r="12" spans="1:21" customFormat="1" ht="15.6" thickBot="1">
      <c r="A12" s="23"/>
      <c r="B12" s="40" t="s">
        <v>39</v>
      </c>
      <c r="C12" s="19"/>
      <c r="D12" s="46"/>
      <c r="E12" s="19" t="s">
        <v>27</v>
      </c>
      <c r="F12" s="1"/>
      <c r="G12" s="27"/>
      <c r="H12" s="26"/>
      <c r="I12" s="26"/>
      <c r="J12" s="25"/>
      <c r="K12" s="1"/>
      <c r="L12" s="1"/>
      <c r="M12" s="1"/>
      <c r="N12" s="1"/>
      <c r="O12" s="1"/>
      <c r="P12" s="1"/>
      <c r="Q12" s="1"/>
      <c r="R12" s="23"/>
      <c r="S12" s="23"/>
      <c r="T12" s="44"/>
      <c r="U12" s="23"/>
    </row>
    <row r="13" spans="1:21" customFormat="1" ht="15">
      <c r="A13" s="23"/>
      <c r="B13" s="40" t="s">
        <v>38</v>
      </c>
      <c r="C13" s="19"/>
      <c r="D13" s="45"/>
      <c r="E13" s="23"/>
      <c r="F13" s="23"/>
      <c r="G13" s="23"/>
      <c r="H13" s="23"/>
      <c r="I13" s="23"/>
      <c r="J13" s="23"/>
      <c r="K13" s="23"/>
      <c r="L13" s="23"/>
      <c r="M13" s="44"/>
      <c r="N13" s="23"/>
      <c r="O13" s="23"/>
      <c r="P13" s="43"/>
      <c r="Q13" s="23"/>
      <c r="R13" s="23"/>
      <c r="S13" s="23"/>
      <c r="T13" s="23"/>
      <c r="U13" s="23"/>
    </row>
    <row r="14" spans="1:21" ht="15">
      <c r="B14" s="40" t="s">
        <v>37</v>
      </c>
      <c r="D14" s="42"/>
      <c r="G14" s="40" t="s">
        <v>36</v>
      </c>
      <c r="H14" s="21"/>
      <c r="I14" s="41"/>
      <c r="J14" s="40" t="s">
        <v>35</v>
      </c>
    </row>
    <row r="16" spans="1:21">
      <c r="A16" s="18" t="s">
        <v>21</v>
      </c>
      <c r="B16" s="18" t="s">
        <v>20</v>
      </c>
      <c r="C16" s="18" t="s">
        <v>19</v>
      </c>
      <c r="D16" s="18" t="s">
        <v>18</v>
      </c>
      <c r="E16" s="18" t="s">
        <v>17</v>
      </c>
      <c r="F16" s="18" t="s">
        <v>19</v>
      </c>
      <c r="G16" s="18" t="s">
        <v>18</v>
      </c>
      <c r="H16" s="18" t="s">
        <v>17</v>
      </c>
      <c r="I16" s="18" t="s">
        <v>17</v>
      </c>
      <c r="J16" s="18" t="s">
        <v>16</v>
      </c>
      <c r="K16" s="17"/>
    </row>
    <row r="17" spans="1:14">
      <c r="A17" s="16" t="s">
        <v>9</v>
      </c>
      <c r="B17" s="16" t="s">
        <v>15</v>
      </c>
      <c r="C17" s="16" t="s">
        <v>14</v>
      </c>
      <c r="D17" s="16" t="s">
        <v>13</v>
      </c>
      <c r="E17" s="16" t="s">
        <v>12</v>
      </c>
      <c r="F17" s="16" t="s">
        <v>14</v>
      </c>
      <c r="G17" s="16" t="s">
        <v>13</v>
      </c>
      <c r="H17" s="16" t="s">
        <v>12</v>
      </c>
      <c r="I17" s="16" t="s">
        <v>12</v>
      </c>
      <c r="J17" s="16" t="s">
        <v>11</v>
      </c>
      <c r="K17" s="39" t="s">
        <v>10</v>
      </c>
      <c r="M17" s="15"/>
      <c r="N17" s="1">
        <v>55000</v>
      </c>
    </row>
    <row r="18" spans="1:14">
      <c r="A18" s="14" t="s">
        <v>9</v>
      </c>
      <c r="B18" s="14" t="s">
        <v>8</v>
      </c>
      <c r="C18" s="14"/>
      <c r="D18" s="14"/>
      <c r="E18" s="14"/>
      <c r="F18" s="14" t="s">
        <v>7</v>
      </c>
      <c r="G18" s="14" t="s">
        <v>7</v>
      </c>
      <c r="H18" s="14" t="s">
        <v>7</v>
      </c>
      <c r="I18" s="14" t="s">
        <v>6</v>
      </c>
      <c r="J18" s="14" t="s">
        <v>5</v>
      </c>
      <c r="K18" s="14"/>
      <c r="M18" s="38"/>
    </row>
    <row r="19" spans="1:14">
      <c r="A19" s="13">
        <v>0</v>
      </c>
      <c r="B19" s="12"/>
      <c r="C19" s="11"/>
      <c r="D19" s="12"/>
      <c r="E19" s="8"/>
      <c r="F19" s="9"/>
      <c r="G19" s="9"/>
      <c r="H19" s="8"/>
      <c r="I19" s="6"/>
      <c r="J19" s="7"/>
      <c r="K19" s="6"/>
      <c r="L19" s="1">
        <f>IF(K19&lt;0,0,1)</f>
        <v>1</v>
      </c>
    </row>
    <row r="20" spans="1:14">
      <c r="A20" s="13">
        <v>1</v>
      </c>
      <c r="B20" s="12"/>
      <c r="C20" s="11"/>
      <c r="D20" s="10"/>
      <c r="E20" s="8"/>
      <c r="F20" s="9"/>
      <c r="G20" s="9"/>
      <c r="H20" s="8"/>
      <c r="I20" s="6"/>
      <c r="J20" s="7"/>
      <c r="K20" s="6"/>
      <c r="L20" s="1">
        <f>IF(K20&lt;0,0,1)</f>
        <v>1</v>
      </c>
    </row>
    <row r="21" spans="1:14">
      <c r="A21" s="13">
        <v>2</v>
      </c>
      <c r="B21" s="12"/>
      <c r="C21" s="11"/>
      <c r="D21" s="10"/>
      <c r="E21" s="8"/>
      <c r="F21" s="9"/>
      <c r="G21" s="9"/>
      <c r="H21" s="8"/>
      <c r="I21" s="6"/>
      <c r="J21" s="7"/>
      <c r="K21" s="6"/>
      <c r="L21" s="1">
        <f>IF(K21&lt;0,0,1)</f>
        <v>1</v>
      </c>
    </row>
    <row r="22" spans="1:14">
      <c r="A22" s="13">
        <v>3</v>
      </c>
      <c r="B22" s="12"/>
      <c r="C22" s="11"/>
      <c r="D22" s="10"/>
      <c r="E22" s="8"/>
      <c r="F22" s="9"/>
      <c r="G22" s="9"/>
      <c r="H22" s="8"/>
      <c r="I22" s="6"/>
      <c r="J22" s="7"/>
      <c r="K22" s="6"/>
      <c r="L22" s="1">
        <f>IF(K22&lt;0,0,1)</f>
        <v>1</v>
      </c>
    </row>
    <row r="23" spans="1:14">
      <c r="A23" s="13">
        <v>4</v>
      </c>
      <c r="B23" s="12"/>
      <c r="C23" s="11"/>
      <c r="D23" s="10"/>
      <c r="E23" s="8"/>
      <c r="F23" s="9"/>
      <c r="G23" s="9"/>
      <c r="H23" s="8"/>
      <c r="I23" s="6"/>
      <c r="J23" s="7"/>
      <c r="K23" s="6"/>
      <c r="L23" s="1">
        <f>IF(K23&lt;0,0,1)</f>
        <v>1</v>
      </c>
    </row>
    <row r="24" spans="1:14">
      <c r="A24" s="13">
        <v>5</v>
      </c>
      <c r="B24" s="12"/>
      <c r="C24" s="11"/>
      <c r="D24" s="10"/>
      <c r="E24" s="8"/>
      <c r="F24" s="9"/>
      <c r="G24" s="9"/>
      <c r="H24" s="8"/>
      <c r="I24" s="6"/>
      <c r="J24" s="7"/>
      <c r="K24" s="6"/>
      <c r="L24" s="1">
        <f>IF(K24&lt;0,0,1)</f>
        <v>1</v>
      </c>
    </row>
    <row r="25" spans="1:14">
      <c r="A25" s="13">
        <v>6</v>
      </c>
      <c r="B25" s="12"/>
      <c r="C25" s="11"/>
      <c r="D25" s="10"/>
      <c r="E25" s="8"/>
      <c r="F25" s="9"/>
      <c r="G25" s="9"/>
      <c r="H25" s="8"/>
      <c r="I25" s="6"/>
      <c r="J25" s="7"/>
      <c r="K25" s="6"/>
      <c r="L25" s="1">
        <f>IF(K25&lt;0,0,1)</f>
        <v>1</v>
      </c>
    </row>
    <row r="26" spans="1:14">
      <c r="A26" s="13">
        <v>7</v>
      </c>
      <c r="B26" s="12"/>
      <c r="C26" s="11"/>
      <c r="D26" s="10"/>
      <c r="E26" s="8"/>
      <c r="F26" s="9"/>
      <c r="G26" s="9"/>
      <c r="H26" s="8"/>
      <c r="I26" s="6"/>
      <c r="J26" s="7"/>
      <c r="K26" s="6"/>
      <c r="L26" s="1">
        <f>IF(K26&lt;0,0,1)</f>
        <v>1</v>
      </c>
    </row>
    <row r="27" spans="1:14">
      <c r="A27" s="13">
        <v>8</v>
      </c>
      <c r="B27" s="12"/>
      <c r="C27" s="11"/>
      <c r="D27" s="10"/>
      <c r="E27" s="8"/>
      <c r="F27" s="9"/>
      <c r="G27" s="9"/>
      <c r="H27" s="8"/>
      <c r="I27" s="6"/>
      <c r="J27" s="7"/>
      <c r="K27" s="6"/>
      <c r="L27" s="1">
        <f>IF(K27&lt;0,0,1)</f>
        <v>1</v>
      </c>
    </row>
    <row r="28" spans="1:14">
      <c r="A28" s="13">
        <v>9</v>
      </c>
      <c r="B28" s="12"/>
      <c r="C28" s="11"/>
      <c r="D28" s="10"/>
      <c r="E28" s="8"/>
      <c r="F28" s="9"/>
      <c r="G28" s="9"/>
      <c r="H28" s="8"/>
      <c r="I28" s="6"/>
      <c r="J28" s="7"/>
      <c r="K28" s="6"/>
      <c r="L28" s="1">
        <f>IF(K28&lt;0,0,1)</f>
        <v>1</v>
      </c>
    </row>
    <row r="29" spans="1:14">
      <c r="A29" s="13">
        <v>10</v>
      </c>
      <c r="B29" s="12"/>
      <c r="C29" s="11"/>
      <c r="D29" s="10"/>
      <c r="E29" s="8"/>
      <c r="F29" s="9"/>
      <c r="G29" s="9"/>
      <c r="H29" s="8"/>
      <c r="I29" s="6"/>
      <c r="J29" s="7"/>
      <c r="K29" s="6"/>
      <c r="L29" s="1">
        <f>IF(K29&lt;0,0,1)</f>
        <v>1</v>
      </c>
    </row>
    <row r="30" spans="1:14">
      <c r="A30" s="13">
        <v>11</v>
      </c>
      <c r="B30" s="12"/>
      <c r="C30" s="11"/>
      <c r="D30" s="10"/>
      <c r="E30" s="8"/>
      <c r="F30" s="9"/>
      <c r="G30" s="9"/>
      <c r="H30" s="8"/>
      <c r="I30" s="6"/>
      <c r="J30" s="7"/>
      <c r="K30" s="6"/>
      <c r="L30" s="1">
        <f>IF(K30&lt;0,0,1)</f>
        <v>1</v>
      </c>
    </row>
    <row r="31" spans="1:14">
      <c r="A31" s="13">
        <v>12</v>
      </c>
      <c r="B31" s="12"/>
      <c r="C31" s="11"/>
      <c r="D31" s="10"/>
      <c r="E31" s="8"/>
      <c r="F31" s="9"/>
      <c r="G31" s="9"/>
      <c r="H31" s="8"/>
      <c r="I31" s="6"/>
      <c r="J31" s="7"/>
      <c r="K31" s="6"/>
      <c r="L31" s="1">
        <f>IF(K31&lt;0,0,1)</f>
        <v>1</v>
      </c>
    </row>
    <row r="32" spans="1:14">
      <c r="A32" s="13">
        <v>13</v>
      </c>
      <c r="B32" s="12"/>
      <c r="C32" s="11"/>
      <c r="D32" s="10"/>
      <c r="E32" s="8"/>
      <c r="F32" s="9"/>
      <c r="G32" s="9"/>
      <c r="H32" s="8"/>
      <c r="I32" s="6"/>
      <c r="J32" s="7"/>
      <c r="K32" s="6"/>
      <c r="L32" s="1">
        <f>IF(K32&lt;0,0,1)</f>
        <v>1</v>
      </c>
    </row>
    <row r="33" spans="1:15">
      <c r="A33" s="13">
        <v>14</v>
      </c>
      <c r="B33" s="12"/>
      <c r="C33" s="11"/>
      <c r="D33" s="10"/>
      <c r="E33" s="8"/>
      <c r="F33" s="9"/>
      <c r="G33" s="9"/>
      <c r="H33" s="8"/>
      <c r="I33" s="6"/>
      <c r="J33" s="7"/>
      <c r="K33" s="6"/>
      <c r="L33" s="1">
        <f>IF(K33&lt;0,0,1)</f>
        <v>1</v>
      </c>
    </row>
    <row r="34" spans="1:15">
      <c r="A34" s="13">
        <v>15</v>
      </c>
      <c r="B34" s="12"/>
      <c r="C34" s="11"/>
      <c r="D34" s="10"/>
      <c r="E34" s="8"/>
      <c r="F34" s="9"/>
      <c r="G34" s="9"/>
      <c r="H34" s="8"/>
      <c r="I34" s="6"/>
      <c r="J34" s="7"/>
      <c r="K34" s="6"/>
      <c r="L34" s="1">
        <f>IF(K34&lt;0,0,1)</f>
        <v>1</v>
      </c>
    </row>
    <row r="35" spans="1:15">
      <c r="A35" s="5"/>
      <c r="B35" s="5"/>
      <c r="C35" s="5"/>
      <c r="D35" s="5"/>
      <c r="E35" s="5"/>
      <c r="F35" s="4"/>
      <c r="G35" s="4"/>
      <c r="H35" s="4"/>
      <c r="I35" s="4"/>
      <c r="J35" s="4"/>
      <c r="K35" s="3"/>
      <c r="L35" s="1">
        <f>IF(K35&lt;0,0,1)</f>
        <v>1</v>
      </c>
    </row>
    <row r="36" spans="1:15">
      <c r="K36" s="37"/>
    </row>
    <row r="37" spans="1:15" ht="14.4" thickBot="1"/>
    <row r="38" spans="1:15">
      <c r="A38" s="23"/>
      <c r="B38" s="19" t="s">
        <v>34</v>
      </c>
      <c r="C38" s="19"/>
      <c r="D38" s="36"/>
      <c r="E38" s="19" t="s">
        <v>27</v>
      </c>
      <c r="G38" s="35" t="s">
        <v>33</v>
      </c>
      <c r="H38" s="34"/>
      <c r="I38" s="34"/>
      <c r="J38" s="33"/>
      <c r="K38" s="23"/>
      <c r="L38" s="23"/>
      <c r="M38" s="1" t="s">
        <v>32</v>
      </c>
      <c r="O38" s="1" t="s">
        <v>31</v>
      </c>
    </row>
    <row r="39" spans="1:15">
      <c r="A39" s="23"/>
      <c r="B39" s="23" t="s">
        <v>30</v>
      </c>
      <c r="C39" s="23"/>
      <c r="D39" s="32">
        <v>0.08</v>
      </c>
      <c r="G39" s="31"/>
      <c r="H39" s="30"/>
      <c r="I39" s="30"/>
      <c r="J39" s="29"/>
      <c r="K39" s="23"/>
      <c r="L39" s="23"/>
      <c r="M39" s="1" t="s">
        <v>29</v>
      </c>
    </row>
    <row r="40" spans="1:15" ht="14.4" thickBot="1">
      <c r="A40" s="23"/>
      <c r="B40" s="19" t="s">
        <v>28</v>
      </c>
      <c r="C40" s="19"/>
      <c r="D40" s="28"/>
      <c r="E40" s="19" t="s">
        <v>27</v>
      </c>
      <c r="G40" s="27"/>
      <c r="H40" s="26"/>
      <c r="I40" s="26"/>
      <c r="J40" s="25"/>
      <c r="M40" s="1" t="s">
        <v>26</v>
      </c>
    </row>
    <row r="41" spans="1:15">
      <c r="A41" s="23"/>
      <c r="B41" s="19" t="s">
        <v>25</v>
      </c>
      <c r="C41" s="19"/>
      <c r="D41" s="24"/>
      <c r="E41" s="23"/>
      <c r="F41" s="23"/>
      <c r="G41" s="23"/>
      <c r="H41" s="23"/>
      <c r="I41" s="23"/>
      <c r="J41" s="23"/>
      <c r="K41" s="23"/>
      <c r="L41" s="23"/>
    </row>
    <row r="42" spans="1:15" ht="15">
      <c r="B42" s="19" t="s">
        <v>24</v>
      </c>
      <c r="D42" s="22"/>
      <c r="G42" s="19" t="s">
        <v>23</v>
      </c>
      <c r="H42" s="21"/>
      <c r="I42" s="20">
        <f>COUNTIF(L47:L62,0)</f>
        <v>0</v>
      </c>
      <c r="J42" s="19" t="s">
        <v>22</v>
      </c>
    </row>
    <row r="44" spans="1:15">
      <c r="A44" s="18" t="s">
        <v>21</v>
      </c>
      <c r="B44" s="18" t="s">
        <v>20</v>
      </c>
      <c r="C44" s="18" t="s">
        <v>19</v>
      </c>
      <c r="D44" s="18" t="s">
        <v>18</v>
      </c>
      <c r="E44" s="18" t="s">
        <v>17</v>
      </c>
      <c r="F44" s="18" t="s">
        <v>19</v>
      </c>
      <c r="G44" s="18" t="s">
        <v>18</v>
      </c>
      <c r="H44" s="18" t="s">
        <v>17</v>
      </c>
      <c r="I44" s="18" t="s">
        <v>17</v>
      </c>
      <c r="J44" s="18" t="s">
        <v>16</v>
      </c>
      <c r="K44" s="17"/>
    </row>
    <row r="45" spans="1:15">
      <c r="A45" s="16" t="s">
        <v>9</v>
      </c>
      <c r="B45" s="16" t="s">
        <v>15</v>
      </c>
      <c r="C45" s="16" t="s">
        <v>14</v>
      </c>
      <c r="D45" s="16" t="s">
        <v>13</v>
      </c>
      <c r="E45" s="16" t="s">
        <v>12</v>
      </c>
      <c r="F45" s="16" t="s">
        <v>14</v>
      </c>
      <c r="G45" s="16" t="s">
        <v>13</v>
      </c>
      <c r="H45" s="16" t="s">
        <v>12</v>
      </c>
      <c r="I45" s="16" t="s">
        <v>12</v>
      </c>
      <c r="J45" s="16" t="s">
        <v>11</v>
      </c>
      <c r="K45" s="15" t="s">
        <v>10</v>
      </c>
    </row>
    <row r="46" spans="1:15">
      <c r="A46" s="14" t="s">
        <v>9</v>
      </c>
      <c r="B46" s="14" t="s">
        <v>8</v>
      </c>
      <c r="C46" s="14"/>
      <c r="D46" s="14"/>
      <c r="E46" s="14"/>
      <c r="F46" s="14" t="s">
        <v>7</v>
      </c>
      <c r="G46" s="14" t="s">
        <v>7</v>
      </c>
      <c r="H46" s="14" t="s">
        <v>7</v>
      </c>
      <c r="I46" s="14" t="s">
        <v>6</v>
      </c>
      <c r="J46" s="14" t="s">
        <v>5</v>
      </c>
      <c r="K46" s="14"/>
    </row>
    <row r="47" spans="1:15">
      <c r="A47" s="13">
        <v>0</v>
      </c>
      <c r="B47" s="12"/>
      <c r="C47" s="11"/>
      <c r="D47" s="12"/>
      <c r="E47" s="8"/>
      <c r="F47" s="9"/>
      <c r="G47" s="9"/>
      <c r="H47" s="8"/>
      <c r="I47" s="6"/>
      <c r="J47" s="7"/>
      <c r="K47" s="6"/>
      <c r="L47" s="1">
        <f>IF(K47&lt;0,0,1)</f>
        <v>1</v>
      </c>
    </row>
    <row r="48" spans="1:15">
      <c r="A48" s="13">
        <v>1</v>
      </c>
      <c r="B48" s="12"/>
      <c r="C48" s="11"/>
      <c r="D48" s="10"/>
      <c r="E48" s="8"/>
      <c r="F48" s="9"/>
      <c r="G48" s="9"/>
      <c r="H48" s="8"/>
      <c r="I48" s="6"/>
      <c r="J48" s="7"/>
      <c r="K48" s="6"/>
      <c r="L48" s="1">
        <f>IF(K48&lt;0,0,1)</f>
        <v>1</v>
      </c>
    </row>
    <row r="49" spans="1:12">
      <c r="A49" s="13">
        <v>2</v>
      </c>
      <c r="B49" s="12"/>
      <c r="C49" s="11"/>
      <c r="D49" s="10"/>
      <c r="E49" s="8"/>
      <c r="F49" s="9"/>
      <c r="G49" s="9"/>
      <c r="H49" s="8"/>
      <c r="I49" s="6"/>
      <c r="J49" s="7"/>
      <c r="K49" s="6"/>
      <c r="L49" s="1">
        <f>IF(K49&lt;0,0,1)</f>
        <v>1</v>
      </c>
    </row>
    <row r="50" spans="1:12">
      <c r="A50" s="13">
        <v>3</v>
      </c>
      <c r="B50" s="12"/>
      <c r="C50" s="11"/>
      <c r="D50" s="10"/>
      <c r="E50" s="8"/>
      <c r="F50" s="9"/>
      <c r="G50" s="9"/>
      <c r="H50" s="8"/>
      <c r="I50" s="6"/>
      <c r="J50" s="7"/>
      <c r="K50" s="6"/>
      <c r="L50" s="1">
        <f>IF(K50&lt;0,0,1)</f>
        <v>1</v>
      </c>
    </row>
    <row r="51" spans="1:12">
      <c r="A51" s="13">
        <v>4</v>
      </c>
      <c r="B51" s="12"/>
      <c r="C51" s="11"/>
      <c r="D51" s="10"/>
      <c r="E51" s="8"/>
      <c r="F51" s="9"/>
      <c r="G51" s="9"/>
      <c r="H51" s="8"/>
      <c r="I51" s="6"/>
      <c r="J51" s="7"/>
      <c r="K51" s="6"/>
      <c r="L51" s="1">
        <f>IF(K51&lt;0,0,1)</f>
        <v>1</v>
      </c>
    </row>
    <row r="52" spans="1:12">
      <c r="A52" s="13">
        <v>5</v>
      </c>
      <c r="B52" s="12"/>
      <c r="C52" s="11"/>
      <c r="D52" s="10"/>
      <c r="E52" s="8"/>
      <c r="F52" s="9"/>
      <c r="G52" s="9"/>
      <c r="H52" s="8"/>
      <c r="I52" s="6"/>
      <c r="J52" s="7"/>
      <c r="K52" s="6"/>
      <c r="L52" s="1">
        <f>IF(K52&lt;0,0,1)</f>
        <v>1</v>
      </c>
    </row>
    <row r="53" spans="1:12">
      <c r="A53" s="13">
        <v>6</v>
      </c>
      <c r="B53" s="12"/>
      <c r="C53" s="11"/>
      <c r="D53" s="10"/>
      <c r="E53" s="8"/>
      <c r="F53" s="9"/>
      <c r="G53" s="9"/>
      <c r="H53" s="8"/>
      <c r="I53" s="6"/>
      <c r="J53" s="7"/>
      <c r="K53" s="6"/>
      <c r="L53" s="1">
        <f>IF(K53&lt;0,0,1)</f>
        <v>1</v>
      </c>
    </row>
    <row r="54" spans="1:12">
      <c r="A54" s="13">
        <v>7</v>
      </c>
      <c r="B54" s="12"/>
      <c r="C54" s="11"/>
      <c r="D54" s="10"/>
      <c r="E54" s="8"/>
      <c r="F54" s="9"/>
      <c r="G54" s="9"/>
      <c r="H54" s="8"/>
      <c r="I54" s="6"/>
      <c r="J54" s="7"/>
      <c r="K54" s="6"/>
      <c r="L54" s="1">
        <f>IF(K54&lt;0,0,1)</f>
        <v>1</v>
      </c>
    </row>
    <row r="55" spans="1:12">
      <c r="A55" s="13">
        <v>8</v>
      </c>
      <c r="B55" s="12"/>
      <c r="C55" s="11"/>
      <c r="D55" s="10"/>
      <c r="E55" s="8"/>
      <c r="F55" s="9"/>
      <c r="G55" s="9"/>
      <c r="H55" s="8"/>
      <c r="I55" s="6"/>
      <c r="J55" s="7"/>
      <c r="K55" s="6"/>
      <c r="L55" s="1">
        <f>IF(K55&lt;0,0,1)</f>
        <v>1</v>
      </c>
    </row>
    <row r="56" spans="1:12">
      <c r="A56" s="13">
        <v>9</v>
      </c>
      <c r="B56" s="12"/>
      <c r="C56" s="11"/>
      <c r="D56" s="10"/>
      <c r="E56" s="8"/>
      <c r="F56" s="9"/>
      <c r="G56" s="9"/>
      <c r="H56" s="8"/>
      <c r="I56" s="6"/>
      <c r="J56" s="7"/>
      <c r="K56" s="6"/>
      <c r="L56" s="1">
        <f>IF(K56&lt;0,0,1)</f>
        <v>1</v>
      </c>
    </row>
    <row r="57" spans="1:12">
      <c r="A57" s="13">
        <v>10</v>
      </c>
      <c r="B57" s="12"/>
      <c r="C57" s="11"/>
      <c r="D57" s="10"/>
      <c r="E57" s="8"/>
      <c r="F57" s="9"/>
      <c r="G57" s="9"/>
      <c r="H57" s="8"/>
      <c r="I57" s="6"/>
      <c r="J57" s="7"/>
      <c r="K57" s="6"/>
      <c r="L57" s="1">
        <f>IF(K57&lt;0,0,1)</f>
        <v>1</v>
      </c>
    </row>
    <row r="58" spans="1:12">
      <c r="A58" s="13">
        <v>11</v>
      </c>
      <c r="B58" s="12"/>
      <c r="C58" s="11"/>
      <c r="D58" s="10"/>
      <c r="E58" s="8"/>
      <c r="F58" s="9"/>
      <c r="G58" s="9"/>
      <c r="H58" s="8"/>
      <c r="I58" s="6"/>
      <c r="J58" s="7"/>
      <c r="K58" s="6"/>
      <c r="L58" s="1">
        <f>IF(K58&lt;0,0,1)</f>
        <v>1</v>
      </c>
    </row>
    <row r="59" spans="1:12">
      <c r="A59" s="13">
        <v>12</v>
      </c>
      <c r="B59" s="12"/>
      <c r="C59" s="11"/>
      <c r="D59" s="10"/>
      <c r="E59" s="8"/>
      <c r="F59" s="9"/>
      <c r="G59" s="9"/>
      <c r="H59" s="8"/>
      <c r="I59" s="6"/>
      <c r="J59" s="7"/>
      <c r="K59" s="6"/>
      <c r="L59" s="1">
        <f>IF(K59&lt;0,0,1)</f>
        <v>1</v>
      </c>
    </row>
    <row r="60" spans="1:12">
      <c r="A60" s="13">
        <v>13</v>
      </c>
      <c r="B60" s="12"/>
      <c r="C60" s="11"/>
      <c r="D60" s="10"/>
      <c r="E60" s="8"/>
      <c r="F60" s="9"/>
      <c r="G60" s="9"/>
      <c r="H60" s="8"/>
      <c r="I60" s="6"/>
      <c r="J60" s="7"/>
      <c r="K60" s="6"/>
      <c r="L60" s="1">
        <f>IF(K60&lt;0,0,1)</f>
        <v>1</v>
      </c>
    </row>
    <row r="61" spans="1:12">
      <c r="A61" s="13">
        <v>14</v>
      </c>
      <c r="B61" s="12"/>
      <c r="C61" s="11"/>
      <c r="D61" s="10"/>
      <c r="E61" s="8"/>
      <c r="F61" s="9"/>
      <c r="G61" s="9"/>
      <c r="H61" s="8"/>
      <c r="I61" s="6"/>
      <c r="J61" s="7"/>
      <c r="K61" s="6"/>
      <c r="L61" s="1">
        <f>IF(K61&lt;0,0,1)</f>
        <v>1</v>
      </c>
    </row>
    <row r="62" spans="1:12">
      <c r="A62" s="13">
        <v>15</v>
      </c>
      <c r="B62" s="12"/>
      <c r="C62" s="11"/>
      <c r="D62" s="10"/>
      <c r="E62" s="8"/>
      <c r="F62" s="9"/>
      <c r="G62" s="9"/>
      <c r="H62" s="8"/>
      <c r="I62" s="6"/>
      <c r="J62" s="7"/>
      <c r="K62" s="6"/>
      <c r="L62" s="1">
        <f>IF(K62&lt;0,0,1)</f>
        <v>1</v>
      </c>
    </row>
    <row r="63" spans="1:12">
      <c r="A63" s="5"/>
      <c r="B63" s="5"/>
      <c r="C63" s="5"/>
      <c r="D63" s="5"/>
      <c r="E63" s="5"/>
      <c r="F63" s="4"/>
      <c r="G63" s="4"/>
      <c r="H63" s="4"/>
      <c r="I63" s="4"/>
      <c r="J63" s="4"/>
      <c r="K63" s="3"/>
    </row>
    <row r="65" spans="2:3" hidden="1">
      <c r="B65" s="1" t="s">
        <v>4</v>
      </c>
      <c r="C65" s="2" t="s">
        <v>3</v>
      </c>
    </row>
    <row r="66" spans="2:3" hidden="1">
      <c r="C66" s="2" t="s">
        <v>2</v>
      </c>
    </row>
    <row r="67" spans="2:3" hidden="1">
      <c r="C67" s="2" t="s">
        <v>1</v>
      </c>
    </row>
    <row r="68" spans="2:3" hidden="1">
      <c r="C68" s="2" t="s">
        <v>0</v>
      </c>
    </row>
    <row r="69" spans="2:3" hidden="1"/>
    <row r="70" spans="2:3" hidden="1"/>
    <row r="71" spans="2:3" hidden="1"/>
    <row r="72" spans="2:3" hidden="1"/>
    <row r="73" spans="2:3" hidden="1"/>
    <row r="74" spans="2:3" hidden="1"/>
    <row r="75" spans="2:3" hidden="1"/>
    <row r="76" spans="2:3" hidden="1"/>
    <row r="77" spans="2:3" hidden="1"/>
    <row r="78" spans="2:3" hidden="1"/>
    <row r="79" spans="2:3" hidden="1"/>
    <row r="80" spans="2:3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</sheetData>
  <mergeCells count="2">
    <mergeCell ref="G38:J40"/>
    <mergeCell ref="G10:J1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CB5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2026-01-07T02:46:19Z</dcterms:created>
  <dcterms:modified xsi:type="dcterms:W3CDTF">2026-01-07T02:46:45Z</dcterms:modified>
</cp:coreProperties>
</file>